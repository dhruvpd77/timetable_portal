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A6298F09-6DAB-4EFF-A4F3-2991787F2BA7}" xr6:coauthVersionLast="47" xr6:coauthVersionMax="47" xr10:uidLastSave="{00000000-0000-0000-0000-000000000000}"/>
  <bookViews>
    <workbookView xWindow="-120" yWindow="-120" windowWidth="20730" windowHeight="11160" tabRatio="909" xr2:uid="{00000000-000D-0000-FFFF-FFFF00000000}"/>
  </bookViews>
  <sheets>
    <sheet name="SEM IV_2024" sheetId="12" r:id="rId1"/>
    <sheet name="Sheet1" sheetId="15" r:id="rId2"/>
    <sheet name="Fac. wise TT" sheetId="2" state="hidden" r:id="rId3"/>
    <sheet name="RegularHoursWeekDivWise" sheetId="14" state="hidden" r:id="rId4"/>
  </sheets>
  <definedNames>
    <definedName name="_xlnm.Print_Area" localSheetId="0">'SEM IV_2024'!$A$1:$T$15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2" i="12" l="1"/>
  <c r="T9" i="12"/>
  <c r="F13" i="12"/>
  <c r="F12" i="12"/>
  <c r="F11" i="12"/>
  <c r="F10" i="12"/>
  <c r="F9" i="12"/>
  <c r="T10" i="12" l="1"/>
  <c r="C15" i="12" l="1"/>
  <c r="T11" i="12" l="1"/>
  <c r="T13" i="12"/>
  <c r="S15" i="12"/>
  <c r="F15" i="12" l="1"/>
  <c r="E15" i="12"/>
  <c r="H15" i="12"/>
  <c r="G15" i="12"/>
  <c r="D15" i="12"/>
  <c r="J8" i="14" l="1"/>
  <c r="J6" i="14"/>
  <c r="J7" i="14"/>
  <c r="J12" i="14"/>
  <c r="J11" i="14"/>
  <c r="J10" i="14"/>
  <c r="J5" i="14"/>
  <c r="J4" i="14"/>
  <c r="J3" i="14"/>
</calcChain>
</file>

<file path=xl/sharedStrings.xml><?xml version="1.0" encoding="utf-8"?>
<sst xmlns="http://schemas.openxmlformats.org/spreadsheetml/2006/main" count="397" uniqueCount="235">
  <si>
    <t>Subject</t>
  </si>
  <si>
    <t>IJP</t>
  </si>
  <si>
    <t>MAT</t>
  </si>
  <si>
    <t>NBJ</t>
  </si>
  <si>
    <t>MJP</t>
  </si>
  <si>
    <t>Dr. SS</t>
  </si>
  <si>
    <t>MSB</t>
  </si>
  <si>
    <t>ADT</t>
  </si>
  <si>
    <t>RSK</t>
  </si>
  <si>
    <t>Dr. Jha</t>
  </si>
  <si>
    <t>Effective Load</t>
  </si>
  <si>
    <t>IJP-Prof I J Patel</t>
  </si>
  <si>
    <t>SS- Dr.Shailja Sharma</t>
  </si>
  <si>
    <t>SMT - Dr. S M Tanna</t>
  </si>
  <si>
    <t>MSB- Mr M S Bukhari</t>
  </si>
  <si>
    <t>MAT - Ms M A Trivedi</t>
  </si>
  <si>
    <t>NBJ - Ms N B Joshi</t>
  </si>
  <si>
    <t>MJP - Mr M J Pandya</t>
  </si>
  <si>
    <t>ADT - Mr A D Thakkar</t>
  </si>
  <si>
    <t>RSK- Mr. R S Khanna</t>
  </si>
  <si>
    <t>Dr Jha</t>
  </si>
  <si>
    <t>L J INSTITUE OF ENGINEERING AND TECHNOLOGY , AHMEDABAD.(MECHNICAL DEPARTMENT)</t>
  </si>
  <si>
    <t>Time</t>
  </si>
  <si>
    <t>Dr. SMT</t>
  </si>
  <si>
    <t>MON</t>
  </si>
  <si>
    <t>8.30 to 9.30</t>
  </si>
  <si>
    <t>9.30 to 10.30</t>
  </si>
  <si>
    <t>10.30 to 11.30</t>
  </si>
  <si>
    <t>11.30 to 12.00</t>
  </si>
  <si>
    <t>12.00 to 1.00</t>
  </si>
  <si>
    <t>1.00 t0  2.00</t>
  </si>
  <si>
    <t>2.00 t0 3.00</t>
  </si>
  <si>
    <t>TUE</t>
  </si>
  <si>
    <t>2.00 t0  3.00</t>
  </si>
  <si>
    <t>WED</t>
  </si>
  <si>
    <t>THU</t>
  </si>
  <si>
    <t>FRI</t>
  </si>
  <si>
    <t>SAT</t>
  </si>
  <si>
    <t>1.00 to  2.00</t>
  </si>
  <si>
    <t>Lectures</t>
  </si>
  <si>
    <t>Labs</t>
  </si>
  <si>
    <t>Total</t>
  </si>
  <si>
    <t>Signature</t>
  </si>
  <si>
    <t>Ms Aarti N Patel</t>
  </si>
  <si>
    <t>Director</t>
  </si>
  <si>
    <t>HOD ME</t>
  </si>
  <si>
    <t>Day</t>
  </si>
  <si>
    <t>Sub.
Code</t>
  </si>
  <si>
    <t>Name of faculty</t>
  </si>
  <si>
    <t>VPS</t>
  </si>
  <si>
    <t>VPS- Mr V P Salot</t>
  </si>
  <si>
    <t>DP-Mr. Divyesh Patel</t>
  </si>
  <si>
    <t>DP</t>
  </si>
  <si>
    <t>AY</t>
  </si>
  <si>
    <t>Dr.C.R.Maiti</t>
  </si>
  <si>
    <t>SP</t>
  </si>
  <si>
    <t>SP-Mr.Sanket Patel</t>
  </si>
  <si>
    <t>AY-Mr.Anil Yadav</t>
  </si>
  <si>
    <t>MECHANICAL ENGINEERING DEPARTMENT,   FACULTY TIME TABLE FOR  EVEN (IV,VI,VIII &amp; II-ME Thermal) SEMESTER  __________2013                       (wef -  )</t>
  </si>
  <si>
    <t>ZJC-Ms.Zarna Chovatiya</t>
  </si>
  <si>
    <t>ZJC</t>
  </si>
  <si>
    <t>PHP</t>
  </si>
  <si>
    <t>PHP-Ms.Prexa Parikh</t>
  </si>
  <si>
    <t>Dr.GA</t>
  </si>
  <si>
    <t>RECESS</t>
  </si>
  <si>
    <t>IV-ME-B-KOM</t>
  </si>
  <si>
    <t>IV-ME-A-KOM</t>
  </si>
  <si>
    <t>IV-ME-B-B2-KOM</t>
  </si>
  <si>
    <t>IV-ME-A-A1-KOM</t>
  </si>
  <si>
    <t>IV-ME-A-A2-KOM</t>
  </si>
  <si>
    <t>IV-ME-B-B1-KOM</t>
  </si>
  <si>
    <t>IV-ME-B-MMM</t>
  </si>
  <si>
    <t>IV-ME-A-MMM</t>
  </si>
  <si>
    <t>IV-ME-B-B1-MMM</t>
  </si>
  <si>
    <t>IV-ME-A-A2-MMM</t>
  </si>
  <si>
    <t>IV-ME-A-A1-MMM</t>
  </si>
  <si>
    <t>IV-ME-B-B2-MMM</t>
  </si>
  <si>
    <t>VI-ME-B-DOM</t>
  </si>
  <si>
    <t>VI-ME-A-DOM</t>
  </si>
  <si>
    <t>VI-ME-A-A1-DOM</t>
  </si>
  <si>
    <t>VI-ME-A-A2-DOM</t>
  </si>
  <si>
    <t>VI-ME-B-B2-DOM</t>
  </si>
  <si>
    <t>VI-ME-B-B1-DOM</t>
  </si>
  <si>
    <t>VI-ME-A-CAD</t>
  </si>
  <si>
    <t>VI-ME-A-A2-CAD</t>
  </si>
  <si>
    <t>VI-ME-B-CAD</t>
  </si>
  <si>
    <t>VI-ME-B-B1-CAD</t>
  </si>
  <si>
    <t>VI-ME-A-A1-CAD</t>
  </si>
  <si>
    <t>VI-ME-B-B2-CAD</t>
  </si>
  <si>
    <t>VIII-ME-IS&amp;ME</t>
  </si>
  <si>
    <t>VIII-ME-B2-IS&amp;ME</t>
  </si>
  <si>
    <t>VIII-ME-B1-IS&amp;ME</t>
  </si>
  <si>
    <t>VI-ME-A-HMT</t>
  </si>
  <si>
    <t>VI-ME-B-HMT</t>
  </si>
  <si>
    <t>VI-ME-B2-HMT</t>
  </si>
  <si>
    <t>VIII-ME-B1-MD-II</t>
  </si>
  <si>
    <t>VIII-ME-MD-II</t>
  </si>
  <si>
    <t>VI-ME-A1-HMT</t>
  </si>
  <si>
    <t>VIII-ME-B2-MD-II</t>
  </si>
  <si>
    <t>VI-ME-B1-HMT</t>
  </si>
  <si>
    <t>VI-ME-A-IE</t>
  </si>
  <si>
    <t>VII-ME-PT</t>
  </si>
  <si>
    <t>VIII-ME-B1-PT</t>
  </si>
  <si>
    <t>VI-ME-B-IE</t>
  </si>
  <si>
    <t>VIII-ME-PT</t>
  </si>
  <si>
    <t>VIII-ME-B2-PT</t>
  </si>
  <si>
    <t>IV-ME-A-IE-I</t>
  </si>
  <si>
    <t>IV-ME-B-IE-I</t>
  </si>
  <si>
    <t>IV-ME-A-A2-IE-I</t>
  </si>
  <si>
    <t>IV-ME-B-B1-IE-I</t>
  </si>
  <si>
    <t>IV-ME-B-B2-IE-I</t>
  </si>
  <si>
    <t>IV-ME-A-A1-IE-I</t>
  </si>
  <si>
    <t>VIII-ME-R&amp;AC</t>
  </si>
  <si>
    <t>VIII-ME-B2-R&amp;AC</t>
  </si>
  <si>
    <t>VII-ME-R&amp;AC</t>
  </si>
  <si>
    <t>VII-ME-TE</t>
  </si>
  <si>
    <t>VIII-ME-B1-R&amp;AC</t>
  </si>
  <si>
    <t>IV-ME-B-ET</t>
  </si>
  <si>
    <t>VI-ME-B-AES</t>
  </si>
  <si>
    <t>IV-ME-A-ET</t>
  </si>
  <si>
    <t>VI-ME-A-AES</t>
  </si>
  <si>
    <t>IV-ME-B-B1-ET</t>
  </si>
  <si>
    <t>IV-ME-A-A2-ET</t>
  </si>
  <si>
    <t>IV-ME-A-A1-ET</t>
  </si>
  <si>
    <t>IV-ME-B-B2-ET</t>
  </si>
  <si>
    <t>VI-ME-B-CE</t>
  </si>
  <si>
    <t>VI-ME-A-CE</t>
  </si>
  <si>
    <t>Dr.GA-Dr G Asthana</t>
  </si>
  <si>
    <t>Prepared By : Ms.N.B.Joshi</t>
  </si>
  <si>
    <t>II-ME-TE-CFD</t>
  </si>
  <si>
    <t>LAB-II-ME-TE-IE-II</t>
  </si>
  <si>
    <t>LAB-II-ME-TE-CFD</t>
  </si>
  <si>
    <t>II-ME-TE-IE-II</t>
  </si>
  <si>
    <t>II-ME-TE-POM</t>
  </si>
  <si>
    <t>VI-ME-A2-HMT</t>
  </si>
  <si>
    <t>II-ME-TE-DHEE</t>
  </si>
  <si>
    <t>LAB-II-ME-TE-DHEE</t>
  </si>
  <si>
    <t>II-ME-TE-AA/C</t>
  </si>
  <si>
    <t>II-ME-TE-TPPE</t>
  </si>
  <si>
    <t>LAB-II-ME-TE-AA/C</t>
  </si>
  <si>
    <t>VI-ME-B-ICE</t>
  </si>
  <si>
    <t>VI-ME-B-B1-ICE</t>
  </si>
  <si>
    <t>VI-ME-A-ICE</t>
  </si>
  <si>
    <t>VI-ME-B-B2-ICE</t>
  </si>
  <si>
    <t>VI-ME-A-A2-ICE</t>
  </si>
  <si>
    <t>VI-ME-A-A1-ICE</t>
  </si>
  <si>
    <t>IV-ME-A-MATHS-4</t>
  </si>
  <si>
    <t>IV-ME-B-B2-MATHS-4</t>
  </si>
  <si>
    <t>IV-ME-B-MATHS-4</t>
  </si>
  <si>
    <t>IV-ME-A-A1-MATHS-4</t>
  </si>
  <si>
    <t>IV-ME-B-B1-MATHS-4</t>
  </si>
  <si>
    <t>IV-ME-A-A2-MATHS-4</t>
  </si>
  <si>
    <t>IV-ME-A-MANG.-I</t>
  </si>
  <si>
    <t>IV-ME-B-MANG.-I</t>
  </si>
  <si>
    <t>LAB-II-ME-TE-TPPE</t>
  </si>
  <si>
    <t>E</t>
  </si>
  <si>
    <t>I</t>
  </si>
  <si>
    <t>DIV</t>
  </si>
  <si>
    <t>LJIET
SEM I 2017
No of Hours / Week Calculation</t>
  </si>
  <si>
    <t>Branch</t>
  </si>
  <si>
    <t>Total Hours</t>
  </si>
  <si>
    <t>ME</t>
  </si>
  <si>
    <t>ME(D TO D)</t>
  </si>
  <si>
    <t>ETC(LEC)</t>
  </si>
  <si>
    <t>CVPDE(LEC)</t>
  </si>
  <si>
    <t>IC(LEC)</t>
  </si>
  <si>
    <t>MSM(LEC)</t>
  </si>
  <si>
    <t>ET(LEC)</t>
  </si>
  <si>
    <t>KTOM(LEC)</t>
  </si>
  <si>
    <t>MSM(PRACTICAL)</t>
  </si>
  <si>
    <t>AUTO</t>
  </si>
  <si>
    <t>AUTO(D TO D)</t>
  </si>
  <si>
    <t>A</t>
  </si>
  <si>
    <t>B</t>
  </si>
  <si>
    <t>C</t>
  </si>
  <si>
    <t>D</t>
  </si>
  <si>
    <t>F</t>
  </si>
  <si>
    <t>G</t>
  </si>
  <si>
    <t>H</t>
  </si>
  <si>
    <t xml:space="preserve">ET lab will be conducted in teaching phase II </t>
  </si>
  <si>
    <t>L</t>
  </si>
  <si>
    <t>T</t>
  </si>
  <si>
    <t>P</t>
  </si>
  <si>
    <t xml:space="preserve">                                                                                                                                                                                                   </t>
  </si>
  <si>
    <t xml:space="preserve">L.J. INSTITUTE OF ENGINEERING &amp; TECHNOLOGY </t>
  </si>
  <si>
    <t>Th.
hr</t>
  </si>
  <si>
    <t>Pr.
hr</t>
  </si>
  <si>
    <t>Teaching Scheme
(Revised)</t>
  </si>
  <si>
    <t>Teaching Scheme
(LJU Actual)</t>
  </si>
  <si>
    <t>Credit</t>
  </si>
  <si>
    <t>SUBJECT COORDINATOR</t>
  </si>
  <si>
    <t>Per batch effective load</t>
  </si>
  <si>
    <t>COMPUTER AND INFORMATION TECHNOLOGY ENGINEERING DEPARTMENT</t>
  </si>
  <si>
    <t>L J UNIVERSITY</t>
  </si>
  <si>
    <t>TOTAL</t>
  </si>
  <si>
    <t>AAP</t>
  </si>
  <si>
    <t>MGV</t>
  </si>
  <si>
    <t>KMS</t>
  </si>
  <si>
    <t>PHA</t>
  </si>
  <si>
    <t>PSK</t>
  </si>
  <si>
    <t>UMS</t>
  </si>
  <si>
    <t>MVP</t>
  </si>
  <si>
    <t>017013491</t>
  </si>
  <si>
    <t>017013492</t>
  </si>
  <si>
    <t>017013493</t>
  </si>
  <si>
    <t>017013494</t>
  </si>
  <si>
    <t>017012491</t>
  </si>
  <si>
    <t>Semester- IV-CE/IT</t>
  </si>
  <si>
    <t>UMM</t>
  </si>
  <si>
    <t>DPP</t>
  </si>
  <si>
    <t>Per batch hours for Timetable</t>
  </si>
  <si>
    <t>A1</t>
  </si>
  <si>
    <t>A2</t>
  </si>
  <si>
    <t>A3</t>
  </si>
  <si>
    <t>A4</t>
  </si>
  <si>
    <t>A5</t>
  </si>
  <si>
    <t>A6</t>
  </si>
  <si>
    <t>A7</t>
  </si>
  <si>
    <t>A8</t>
  </si>
  <si>
    <t xml:space="preserve"> WORKLOAD OF CE/IT ENGINEERING_EVEN_2025 ( IV SEM) </t>
  </si>
  <si>
    <t>A9</t>
  </si>
  <si>
    <t>DPB</t>
  </si>
  <si>
    <t>DKU</t>
  </si>
  <si>
    <t>RHG</t>
  </si>
  <si>
    <t>DVP</t>
  </si>
  <si>
    <t>PKV</t>
  </si>
  <si>
    <t>DM</t>
  </si>
  <si>
    <t>FSD-2</t>
  </si>
  <si>
    <t>COA</t>
  </si>
  <si>
    <t>TOC</t>
  </si>
  <si>
    <t>PYTHON-II</t>
  </si>
  <si>
    <t>DAM</t>
  </si>
  <si>
    <t>ZVB</t>
  </si>
  <si>
    <t>DDP</t>
  </si>
  <si>
    <t>PBZ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</si>
</sst>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name val="Arial"/>
      <family val="2"/>
    </font>
    <font>
      <b/>
      <sz val="11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20"/>
      <color indexed="8"/>
      <name val="Times New Roman"/>
      <family val="1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2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Arial"/>
      <family val="2"/>
    </font>
    <font>
      <b/>
      <sz val="26"/>
      <color indexed="8"/>
      <name val="Times New Roman"/>
      <family val="1"/>
    </font>
    <font>
      <sz val="26"/>
      <color theme="1"/>
      <name val="Calibri"/>
      <family val="2"/>
      <scheme val="minor"/>
    </font>
    <font>
      <b/>
      <sz val="26"/>
      <color rgb="FF000000"/>
      <name val="Times New Roman"/>
      <family val="1"/>
    </font>
    <font>
      <sz val="26"/>
      <name val="Times New Roman"/>
      <family val="1"/>
    </font>
    <font>
      <b/>
      <sz val="26"/>
      <name val="Times New Roman"/>
      <family val="1"/>
    </font>
    <font>
      <b/>
      <sz val="26"/>
      <color theme="1"/>
      <name val="Times New Roman"/>
      <family val="1"/>
    </font>
    <font>
      <sz val="26"/>
      <color indexed="8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5E0EC"/>
        <bgColor rgb="FF000000"/>
      </patternFill>
    </fill>
    <fill>
      <patternFill patternType="solid">
        <fgColor rgb="FFB6DDE8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0" fillId="0" borderId="0"/>
  </cellStyleXfs>
  <cellXfs count="190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/>
    <xf numFmtId="0" fontId="10" fillId="0" borderId="0" xfId="0" applyFont="1"/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2" borderId="0" xfId="0" applyFont="1" applyFill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vertical="center" wrapText="1"/>
    </xf>
    <xf numFmtId="0" fontId="0" fillId="0" borderId="23" xfId="0" applyBorder="1"/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8" fillId="3" borderId="2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wrapText="1"/>
    </xf>
    <xf numFmtId="0" fontId="8" fillId="3" borderId="19" xfId="0" applyFont="1" applyFill="1" applyBorder="1" applyAlignment="1">
      <alignment wrapText="1"/>
    </xf>
    <xf numFmtId="0" fontId="8" fillId="3" borderId="5" xfId="0" applyFont="1" applyFill="1" applyBorder="1" applyAlignment="1">
      <alignment wrapText="1"/>
    </xf>
    <xf numFmtId="0" fontId="8" fillId="3" borderId="14" xfId="0" applyFont="1" applyFill="1" applyBorder="1" applyAlignment="1">
      <alignment wrapText="1"/>
    </xf>
    <xf numFmtId="0" fontId="8" fillId="3" borderId="13" xfId="0" applyFont="1" applyFill="1" applyBorder="1" applyAlignment="1">
      <alignment wrapText="1"/>
    </xf>
    <xf numFmtId="0" fontId="8" fillId="3" borderId="28" xfId="0" applyFont="1" applyFill="1" applyBorder="1" applyAlignment="1">
      <alignment wrapText="1"/>
    </xf>
    <xf numFmtId="0" fontId="11" fillId="0" borderId="13" xfId="0" applyFont="1" applyBorder="1"/>
    <xf numFmtId="0" fontId="8" fillId="3" borderId="0" xfId="0" applyFont="1" applyFill="1" applyAlignment="1">
      <alignment wrapText="1"/>
    </xf>
    <xf numFmtId="0" fontId="8" fillId="3" borderId="29" xfId="0" applyFont="1" applyFill="1" applyBorder="1" applyAlignment="1">
      <alignment wrapText="1"/>
    </xf>
    <xf numFmtId="0" fontId="11" fillId="0" borderId="5" xfId="0" applyFont="1" applyBorder="1"/>
    <xf numFmtId="0" fontId="8" fillId="3" borderId="6" xfId="0" applyFont="1" applyFill="1" applyBorder="1" applyAlignment="1">
      <alignment wrapText="1"/>
    </xf>
    <xf numFmtId="0" fontId="8" fillId="3" borderId="12" xfId="0" applyFont="1" applyFill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8" fillId="3" borderId="15" xfId="0" applyFont="1" applyFill="1" applyBorder="1" applyAlignment="1">
      <alignment wrapText="1"/>
    </xf>
    <xf numFmtId="0" fontId="8" fillId="3" borderId="7" xfId="0" applyFont="1" applyFill="1" applyBorder="1" applyAlignment="1">
      <alignment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textRotation="90" wrapText="1"/>
    </xf>
    <xf numFmtId="0" fontId="6" fillId="4" borderId="15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4" borderId="15" xfId="0" applyFont="1" applyFill="1" applyBorder="1" applyAlignment="1">
      <alignment wrapText="1"/>
    </xf>
    <xf numFmtId="0" fontId="0" fillId="4" borderId="0" xfId="0" applyFill="1"/>
    <xf numFmtId="0" fontId="5" fillId="4" borderId="1" xfId="0" applyFont="1" applyFill="1" applyBorder="1" applyAlignment="1">
      <alignment horizontal="center" vertical="center" textRotation="90" wrapText="1"/>
    </xf>
    <xf numFmtId="0" fontId="6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wrapText="1"/>
    </xf>
    <xf numFmtId="0" fontId="8" fillId="4" borderId="2" xfId="0" applyFont="1" applyFill="1" applyBorder="1" applyAlignment="1">
      <alignment wrapText="1"/>
    </xf>
    <xf numFmtId="0" fontId="0" fillId="4" borderId="23" xfId="0" applyFill="1" applyBorder="1"/>
    <xf numFmtId="0" fontId="5" fillId="4" borderId="2" xfId="0" applyFont="1" applyFill="1" applyBorder="1" applyAlignment="1">
      <alignment horizontal="center" vertical="center" textRotation="90" wrapText="1"/>
    </xf>
    <xf numFmtId="0" fontId="8" fillId="4" borderId="23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vertical="center" wrapText="1"/>
    </xf>
    <xf numFmtId="0" fontId="0" fillId="3" borderId="0" xfId="0" applyFill="1"/>
    <xf numFmtId="0" fontId="0" fillId="3" borderId="23" xfId="0" applyFill="1" applyBorder="1"/>
    <xf numFmtId="0" fontId="8" fillId="4" borderId="1" xfId="0" applyFont="1" applyFill="1" applyBorder="1" applyAlignment="1">
      <alignment wrapText="1"/>
    </xf>
    <xf numFmtId="0" fontId="8" fillId="3" borderId="8" xfId="0" applyFont="1" applyFill="1" applyBorder="1" applyAlignment="1">
      <alignment horizontal="center" wrapText="1"/>
    </xf>
    <xf numFmtId="0" fontId="8" fillId="3" borderId="6" xfId="0" applyFont="1" applyFill="1" applyBorder="1" applyAlignment="1">
      <alignment horizontal="center" wrapText="1"/>
    </xf>
    <xf numFmtId="0" fontId="8" fillId="3" borderId="15" xfId="0" applyFont="1" applyFill="1" applyBorder="1" applyAlignment="1">
      <alignment horizontal="center" wrapText="1"/>
    </xf>
    <xf numFmtId="0" fontId="11" fillId="0" borderId="12" xfId="0" applyFont="1" applyBorder="1"/>
    <xf numFmtId="0" fontId="11" fillId="4" borderId="2" xfId="0" applyFont="1" applyFill="1" applyBorder="1"/>
    <xf numFmtId="0" fontId="11" fillId="4" borderId="2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wrapText="1"/>
    </xf>
    <xf numFmtId="0" fontId="8" fillId="3" borderId="2" xfId="0" applyFont="1" applyFill="1" applyBorder="1" applyAlignment="1">
      <alignment wrapText="1"/>
    </xf>
    <xf numFmtId="0" fontId="8" fillId="3" borderId="23" xfId="0" applyFont="1" applyFill="1" applyBorder="1" applyAlignment="1">
      <alignment wrapText="1"/>
    </xf>
    <xf numFmtId="0" fontId="8" fillId="3" borderId="24" xfId="0" applyFont="1" applyFill="1" applyBorder="1" applyAlignment="1">
      <alignment wrapText="1"/>
    </xf>
    <xf numFmtId="0" fontId="6" fillId="3" borderId="2" xfId="0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vertical="center"/>
    </xf>
    <xf numFmtId="0" fontId="8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/>
    </xf>
    <xf numFmtId="0" fontId="11" fillId="0" borderId="28" xfId="0" applyFont="1" applyBorder="1"/>
    <xf numFmtId="0" fontId="11" fillId="0" borderId="6" xfId="0" applyFont="1" applyBorder="1"/>
    <xf numFmtId="0" fontId="8" fillId="3" borderId="19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3" borderId="16" xfId="0" applyFont="1" applyFill="1" applyBorder="1" applyAlignment="1">
      <alignment wrapText="1"/>
    </xf>
    <xf numFmtId="0" fontId="8" fillId="3" borderId="10" xfId="0" applyFont="1" applyFill="1" applyBorder="1" applyAlignment="1">
      <alignment wrapText="1"/>
    </xf>
    <xf numFmtId="0" fontId="0" fillId="0" borderId="30" xfId="0" applyBorder="1"/>
    <xf numFmtId="0" fontId="8" fillId="3" borderId="17" xfId="0" applyFont="1" applyFill="1" applyBorder="1" applyAlignment="1">
      <alignment wrapText="1"/>
    </xf>
    <xf numFmtId="0" fontId="8" fillId="3" borderId="31" xfId="0" applyFont="1" applyFill="1" applyBorder="1" applyAlignment="1">
      <alignment wrapText="1"/>
    </xf>
    <xf numFmtId="0" fontId="8" fillId="3" borderId="21" xfId="0" applyFont="1" applyFill="1" applyBorder="1" applyAlignment="1">
      <alignment wrapText="1"/>
    </xf>
    <xf numFmtId="0" fontId="8" fillId="3" borderId="26" xfId="0" applyFont="1" applyFill="1" applyBorder="1" applyAlignment="1">
      <alignment wrapText="1"/>
    </xf>
    <xf numFmtId="0" fontId="8" fillId="3" borderId="25" xfId="0" applyFont="1" applyFill="1" applyBorder="1" applyAlignment="1">
      <alignment wrapText="1"/>
    </xf>
    <xf numFmtId="0" fontId="8" fillId="3" borderId="32" xfId="0" applyFont="1" applyFill="1" applyBorder="1" applyAlignment="1">
      <alignment wrapText="1"/>
    </xf>
    <xf numFmtId="0" fontId="8" fillId="3" borderId="22" xfId="0" applyFont="1" applyFill="1" applyBorder="1" applyAlignment="1">
      <alignment wrapText="1"/>
    </xf>
    <xf numFmtId="0" fontId="8" fillId="3" borderId="3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4" fillId="0" borderId="0" xfId="0" applyFont="1"/>
    <xf numFmtId="0" fontId="16" fillId="5" borderId="31" xfId="0" applyFont="1" applyFill="1" applyBorder="1" applyAlignment="1">
      <alignment horizontal="center" vertical="center"/>
    </xf>
    <xf numFmtId="0" fontId="16" fillId="5" borderId="31" xfId="0" applyFont="1" applyFill="1" applyBorder="1" applyAlignment="1">
      <alignment horizontal="center" vertical="center" wrapText="1"/>
    </xf>
    <xf numFmtId="0" fontId="16" fillId="6" borderId="31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/>
    </xf>
    <xf numFmtId="0" fontId="17" fillId="0" borderId="31" xfId="0" applyFont="1" applyBorder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vertical="center"/>
    </xf>
    <xf numFmtId="0" fontId="12" fillId="0" borderId="0" xfId="0" applyFont="1" applyAlignment="1">
      <alignment horizontal="right"/>
    </xf>
    <xf numFmtId="0" fontId="21" fillId="7" borderId="31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1" fillId="0" borderId="31" xfId="0" applyFont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31" xfId="1" quotePrefix="1" applyFont="1" applyBorder="1" applyAlignment="1">
      <alignment horizontal="center" vertical="center"/>
    </xf>
    <xf numFmtId="0" fontId="24" fillId="0" borderId="31" xfId="1" applyFont="1" applyBorder="1" applyAlignment="1">
      <alignment horizontal="left" vertical="center" wrapText="1"/>
    </xf>
    <xf numFmtId="0" fontId="25" fillId="0" borderId="31" xfId="1" applyFont="1" applyBorder="1" applyAlignment="1">
      <alignment horizontal="center" vertical="center"/>
    </xf>
    <xf numFmtId="0" fontId="25" fillId="0" borderId="31" xfId="1" applyFont="1" applyBorder="1" applyAlignment="1">
      <alignment horizontal="center" vertical="center" wrapText="1"/>
    </xf>
    <xf numFmtId="0" fontId="22" fillId="0" borderId="0" xfId="0" applyFont="1"/>
    <xf numFmtId="0" fontId="21" fillId="3" borderId="31" xfId="0" applyFont="1" applyFill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top" wrapText="1"/>
    </xf>
    <xf numFmtId="0" fontId="21" fillId="8" borderId="31" xfId="0" applyFont="1" applyFill="1" applyBorder="1" applyAlignment="1">
      <alignment horizontal="center" vertical="center" wrapText="1"/>
    </xf>
    <xf numFmtId="0" fontId="27" fillId="8" borderId="31" xfId="0" applyFont="1" applyFill="1" applyBorder="1" applyAlignment="1">
      <alignment horizontal="center" vertical="top" wrapText="1"/>
    </xf>
    <xf numFmtId="0" fontId="27" fillId="0" borderId="31" xfId="0" applyFont="1" applyBorder="1" applyAlignment="1">
      <alignment horizontal="center" vertical="top" wrapText="1"/>
    </xf>
    <xf numFmtId="0" fontId="27" fillId="0" borderId="31" xfId="0" applyFont="1" applyBorder="1" applyAlignment="1">
      <alignment horizontal="center" vertical="center" wrapText="1"/>
    </xf>
    <xf numFmtId="0" fontId="12" fillId="7" borderId="3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2" fillId="8" borderId="3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8" fillId="0" borderId="39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1" fillId="0" borderId="31" xfId="0" applyFont="1" applyBorder="1" applyAlignment="1">
      <alignment horizontal="left" vertical="top" wrapText="1"/>
    </xf>
    <xf numFmtId="0" fontId="21" fillId="0" borderId="31" xfId="0" applyFont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8" fillId="3" borderId="2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textRotation="90" wrapText="1"/>
    </xf>
    <xf numFmtId="0" fontId="5" fillId="3" borderId="15" xfId="0" applyFont="1" applyFill="1" applyBorder="1" applyAlignment="1">
      <alignment horizontal="center" vertical="center" textRotation="90" wrapText="1"/>
    </xf>
    <xf numFmtId="0" fontId="5" fillId="3" borderId="4" xfId="0" applyFont="1" applyFill="1" applyBorder="1" applyAlignment="1">
      <alignment horizontal="center" vertical="center" textRotation="90" wrapText="1"/>
    </xf>
    <xf numFmtId="0" fontId="6" fillId="3" borderId="34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4" fontId="3" fillId="3" borderId="27" xfId="0" applyNumberFormat="1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wrapText="1"/>
    </xf>
    <xf numFmtId="0" fontId="8" fillId="3" borderId="6" xfId="0" applyFont="1" applyFill="1" applyBorder="1" applyAlignment="1">
      <alignment horizontal="center" wrapText="1"/>
    </xf>
    <xf numFmtId="0" fontId="5" fillId="3" borderId="33" xfId="0" applyFont="1" applyFill="1" applyBorder="1" applyAlignment="1">
      <alignment horizontal="center" vertical="center" textRotation="90" wrapText="1"/>
    </xf>
    <xf numFmtId="0" fontId="5" fillId="3" borderId="25" xfId="0" applyFont="1" applyFill="1" applyBorder="1" applyAlignment="1">
      <alignment horizontal="center" vertical="center" textRotation="90" wrapText="1"/>
    </xf>
    <xf numFmtId="0" fontId="5" fillId="3" borderId="35" xfId="0" applyFont="1" applyFill="1" applyBorder="1" applyAlignment="1">
      <alignment horizontal="center" vertical="center" textRotation="90" wrapText="1"/>
    </xf>
    <xf numFmtId="0" fontId="15" fillId="0" borderId="37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9" fillId="0" borderId="0" xfId="0" applyFont="1" applyAlignment="1">
      <alignment horizontal="center"/>
    </xf>
  </cellXfs>
  <cellStyles count="2">
    <cellStyle name="Normal" xfId="0" builtinId="0"/>
    <cellStyle name="Normal 2 2" xfId="1" xr:uid="{DEE03C74-C405-4DA4-A826-642E4227785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99FFCC"/>
      <color rgb="FF00FF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3"/>
  <sheetViews>
    <sheetView tabSelected="1" view="pageBreakPreview" zoomScale="41" zoomScaleSheetLayoutView="41" workbookViewId="0">
      <selection activeCell="X11" sqref="X11:Y11"/>
    </sheetView>
  </sheetViews>
  <sheetFormatPr defaultRowHeight="15" x14ac:dyDescent="0.25"/>
  <cols>
    <col min="1" max="1" width="36.5703125" customWidth="1"/>
    <col min="2" max="2" width="92.7109375" customWidth="1"/>
    <col min="3" max="5" width="10" customWidth="1"/>
    <col min="6" max="6" width="12.140625" customWidth="1"/>
    <col min="7" max="8" width="10" customWidth="1"/>
    <col min="9" max="9" width="17" customWidth="1"/>
    <col min="10" max="10" width="22.42578125" customWidth="1"/>
    <col min="11" max="14" width="17" customWidth="1"/>
    <col min="15" max="15" width="20.85546875" customWidth="1"/>
    <col min="16" max="16" width="17" customWidth="1"/>
    <col min="17" max="17" width="19.7109375" customWidth="1"/>
    <col min="18" max="18" width="0.140625" customWidth="1"/>
    <col min="19" max="19" width="18" bestFit="1" customWidth="1"/>
    <col min="20" max="20" width="18.42578125" customWidth="1"/>
  </cols>
  <sheetData>
    <row r="1" spans="1:20" ht="30" customHeight="1" x14ac:dyDescent="0.35">
      <c r="A1" s="143" t="s">
        <v>193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</row>
    <row r="2" spans="1:20" s="122" customFormat="1" ht="37.5" customHeight="1" x14ac:dyDescent="0.4">
      <c r="A2" s="143" t="s">
        <v>184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</row>
    <row r="3" spans="1:20" s="122" customFormat="1" ht="37.5" customHeight="1" x14ac:dyDescent="0.4">
      <c r="A3" s="143" t="s">
        <v>192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</row>
    <row r="4" spans="1:20" s="122" customFormat="1" ht="37.5" customHeight="1" x14ac:dyDescent="0.4">
      <c r="A4" s="143" t="s">
        <v>219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</row>
    <row r="5" spans="1:20" s="122" customFormat="1" ht="37.5" customHeight="1" x14ac:dyDescent="0.4">
      <c r="A5" s="145" t="s">
        <v>183</v>
      </c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24"/>
    </row>
    <row r="6" spans="1:20" s="123" customFormat="1" ht="85.5" customHeight="1" x14ac:dyDescent="0.25">
      <c r="A6" s="142" t="s">
        <v>47</v>
      </c>
      <c r="B6" s="142" t="s">
        <v>0</v>
      </c>
      <c r="C6" s="142" t="s">
        <v>188</v>
      </c>
      <c r="D6" s="142"/>
      <c r="E6" s="142"/>
      <c r="F6" s="142" t="s">
        <v>189</v>
      </c>
      <c r="G6" s="142" t="s">
        <v>187</v>
      </c>
      <c r="H6" s="142"/>
      <c r="I6" s="142" t="s">
        <v>48</v>
      </c>
      <c r="J6" s="142"/>
      <c r="K6" s="142"/>
      <c r="L6" s="142"/>
      <c r="M6" s="142"/>
      <c r="N6" s="142"/>
      <c r="O6" s="142"/>
      <c r="P6" s="142"/>
      <c r="Q6" s="142"/>
      <c r="R6" s="142" t="s">
        <v>190</v>
      </c>
      <c r="S6" s="144" t="s">
        <v>210</v>
      </c>
      <c r="T6" s="142" t="s">
        <v>191</v>
      </c>
    </row>
    <row r="7" spans="1:20" s="126" customFormat="1" ht="76.5" customHeight="1" x14ac:dyDescent="0.25">
      <c r="A7" s="142"/>
      <c r="B7" s="142"/>
      <c r="C7" s="125" t="s">
        <v>180</v>
      </c>
      <c r="D7" s="125" t="s">
        <v>181</v>
      </c>
      <c r="E7" s="125" t="s">
        <v>182</v>
      </c>
      <c r="F7" s="142"/>
      <c r="G7" s="125" t="s">
        <v>185</v>
      </c>
      <c r="H7" s="125" t="s">
        <v>186</v>
      </c>
      <c r="I7" s="125" t="s">
        <v>211</v>
      </c>
      <c r="J7" s="125" t="s">
        <v>212</v>
      </c>
      <c r="K7" s="125" t="s">
        <v>213</v>
      </c>
      <c r="L7" s="125" t="s">
        <v>214</v>
      </c>
      <c r="M7" s="125" t="s">
        <v>215</v>
      </c>
      <c r="N7" s="125" t="s">
        <v>216</v>
      </c>
      <c r="O7" s="125" t="s">
        <v>217</v>
      </c>
      <c r="P7" s="125" t="s">
        <v>218</v>
      </c>
      <c r="Q7" s="125" t="s">
        <v>220</v>
      </c>
      <c r="R7" s="142"/>
      <c r="S7" s="144"/>
      <c r="T7" s="142"/>
    </row>
    <row r="8" spans="1:20" s="129" customFormat="1" ht="75.599999999999994" customHeight="1" x14ac:dyDescent="0.25">
      <c r="A8" s="149" t="s">
        <v>207</v>
      </c>
      <c r="B8" s="149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8"/>
    </row>
    <row r="9" spans="1:20" s="126" customFormat="1" ht="76.5" customHeight="1" x14ac:dyDescent="0.25">
      <c r="A9" s="130" t="s">
        <v>202</v>
      </c>
      <c r="B9" s="131" t="s">
        <v>226</v>
      </c>
      <c r="C9" s="132">
        <v>3</v>
      </c>
      <c r="D9" s="132">
        <v>1</v>
      </c>
      <c r="E9" s="133">
        <v>0</v>
      </c>
      <c r="F9" s="132">
        <f t="shared" ref="F9:F13" si="0">C9+D9+(E9/2)</f>
        <v>4</v>
      </c>
      <c r="G9" s="127">
        <v>5</v>
      </c>
      <c r="H9" s="127">
        <v>0</v>
      </c>
      <c r="I9" s="127" t="s">
        <v>199</v>
      </c>
      <c r="J9" s="127" t="s">
        <v>196</v>
      </c>
      <c r="K9" s="127" t="s">
        <v>199</v>
      </c>
      <c r="L9" s="127" t="s">
        <v>196</v>
      </c>
      <c r="M9" s="127" t="s">
        <v>199</v>
      </c>
      <c r="N9" s="127" t="s">
        <v>196</v>
      </c>
      <c r="O9" s="127" t="s">
        <v>233</v>
      </c>
      <c r="P9" s="127" t="s">
        <v>199</v>
      </c>
      <c r="Q9" s="127" t="s">
        <v>196</v>
      </c>
      <c r="R9" s="127"/>
      <c r="S9" s="127">
        <v>5</v>
      </c>
      <c r="T9" s="128">
        <f>S9*0.75</f>
        <v>3.75</v>
      </c>
    </row>
    <row r="10" spans="1:20" s="129" customFormat="1" ht="76.5" customHeight="1" x14ac:dyDescent="0.25">
      <c r="A10" s="130" t="s">
        <v>203</v>
      </c>
      <c r="B10" s="131" t="s">
        <v>227</v>
      </c>
      <c r="C10" s="132">
        <v>3</v>
      </c>
      <c r="D10" s="132">
        <v>0</v>
      </c>
      <c r="E10" s="133">
        <v>6</v>
      </c>
      <c r="F10" s="132">
        <f t="shared" si="0"/>
        <v>6</v>
      </c>
      <c r="G10" s="127">
        <v>0</v>
      </c>
      <c r="H10" s="127">
        <v>6</v>
      </c>
      <c r="I10" s="127" t="s">
        <v>198</v>
      </c>
      <c r="J10" s="127" t="s">
        <v>221</v>
      </c>
      <c r="K10" s="127" t="s">
        <v>222</v>
      </c>
      <c r="L10" s="127" t="s">
        <v>198</v>
      </c>
      <c r="M10" s="127" t="s">
        <v>221</v>
      </c>
      <c r="N10" s="127" t="s">
        <v>222</v>
      </c>
      <c r="O10" s="127" t="s">
        <v>198</v>
      </c>
      <c r="P10" s="127" t="s">
        <v>221</v>
      </c>
      <c r="Q10" s="127" t="s">
        <v>234</v>
      </c>
      <c r="R10" s="127"/>
      <c r="S10" s="127">
        <v>6</v>
      </c>
      <c r="T10" s="128">
        <f>S10*0.75</f>
        <v>4.5</v>
      </c>
    </row>
    <row r="11" spans="1:20" s="126" customFormat="1" ht="76.5" customHeight="1" x14ac:dyDescent="0.25">
      <c r="A11" s="130" t="s">
        <v>204</v>
      </c>
      <c r="B11" s="131" t="s">
        <v>228</v>
      </c>
      <c r="C11" s="132">
        <v>4</v>
      </c>
      <c r="D11" s="132">
        <v>1</v>
      </c>
      <c r="E11" s="133">
        <v>0</v>
      </c>
      <c r="F11" s="132">
        <f t="shared" si="0"/>
        <v>5</v>
      </c>
      <c r="G11" s="127">
        <v>5</v>
      </c>
      <c r="H11" s="127">
        <v>0</v>
      </c>
      <c r="I11" s="127" t="s">
        <v>200</v>
      </c>
      <c r="J11" s="127" t="s">
        <v>208</v>
      </c>
      <c r="K11" s="127" t="s">
        <v>200</v>
      </c>
      <c r="L11" s="127" t="s">
        <v>208</v>
      </c>
      <c r="M11" s="127" t="s">
        <v>200</v>
      </c>
      <c r="N11" s="127" t="s">
        <v>208</v>
      </c>
      <c r="O11" s="127" t="s">
        <v>232</v>
      </c>
      <c r="P11" s="135" t="s">
        <v>208</v>
      </c>
      <c r="Q11" s="135" t="s">
        <v>200</v>
      </c>
      <c r="R11" s="127"/>
      <c r="S11" s="127">
        <v>5</v>
      </c>
      <c r="T11" s="128">
        <f t="shared" ref="T11:T13" si="1">S11*0.75</f>
        <v>3.75</v>
      </c>
    </row>
    <row r="12" spans="1:20" s="129" customFormat="1" ht="76.5" customHeight="1" x14ac:dyDescent="0.25">
      <c r="A12" s="130" t="s">
        <v>205</v>
      </c>
      <c r="B12" s="131" t="s">
        <v>229</v>
      </c>
      <c r="C12" s="132">
        <v>3</v>
      </c>
      <c r="D12" s="133">
        <v>2</v>
      </c>
      <c r="E12" s="133">
        <v>0</v>
      </c>
      <c r="F12" s="132">
        <f t="shared" si="0"/>
        <v>5</v>
      </c>
      <c r="G12" s="127">
        <v>4</v>
      </c>
      <c r="H12" s="127">
        <v>0</v>
      </c>
      <c r="I12" s="127" t="s">
        <v>209</v>
      </c>
      <c r="J12" s="127" t="s">
        <v>231</v>
      </c>
      <c r="K12" s="127" t="s">
        <v>223</v>
      </c>
      <c r="L12" s="127" t="s">
        <v>209</v>
      </c>
      <c r="M12" s="127" t="s">
        <v>223</v>
      </c>
      <c r="N12" s="127" t="s">
        <v>209</v>
      </c>
      <c r="O12" s="127" t="s">
        <v>223</v>
      </c>
      <c r="P12" s="127" t="s">
        <v>209</v>
      </c>
      <c r="Q12" s="127" t="s">
        <v>223</v>
      </c>
      <c r="R12" s="136"/>
      <c r="S12" s="136">
        <v>4</v>
      </c>
      <c r="T12" s="128">
        <f>S12*0.75</f>
        <v>3</v>
      </c>
    </row>
    <row r="13" spans="1:20" s="134" customFormat="1" ht="76.5" customHeight="1" x14ac:dyDescent="0.5">
      <c r="A13" s="130" t="s">
        <v>206</v>
      </c>
      <c r="B13" s="131" t="s">
        <v>230</v>
      </c>
      <c r="C13" s="132">
        <v>2</v>
      </c>
      <c r="D13" s="132">
        <v>0</v>
      </c>
      <c r="E13" s="133">
        <v>6</v>
      </c>
      <c r="F13" s="132">
        <f t="shared" si="0"/>
        <v>5</v>
      </c>
      <c r="G13" s="127">
        <v>0</v>
      </c>
      <c r="H13" s="127">
        <v>6</v>
      </c>
      <c r="I13" s="127" t="s">
        <v>197</v>
      </c>
      <c r="J13" s="127" t="s">
        <v>201</v>
      </c>
      <c r="K13" s="127" t="s">
        <v>224</v>
      </c>
      <c r="L13" s="127" t="s">
        <v>197</v>
      </c>
      <c r="M13" s="127" t="s">
        <v>201</v>
      </c>
      <c r="N13" s="127" t="s">
        <v>197</v>
      </c>
      <c r="O13" s="127" t="s">
        <v>201</v>
      </c>
      <c r="P13" s="127" t="s">
        <v>225</v>
      </c>
      <c r="Q13" s="127" t="s">
        <v>195</v>
      </c>
      <c r="R13" s="137"/>
      <c r="S13" s="136">
        <v>6</v>
      </c>
      <c r="T13" s="128">
        <f t="shared" si="1"/>
        <v>4.5</v>
      </c>
    </row>
    <row r="14" spans="1:20" s="134" customFormat="1" ht="76.5" customHeight="1" x14ac:dyDescent="0.5">
      <c r="A14" s="130"/>
      <c r="B14" s="131"/>
      <c r="C14" s="127"/>
      <c r="D14" s="127"/>
      <c r="E14" s="127"/>
      <c r="F14" s="127"/>
      <c r="G14" s="127"/>
      <c r="H14" s="127"/>
      <c r="I14" s="138"/>
      <c r="J14" s="138"/>
      <c r="K14" s="138"/>
      <c r="L14" s="138"/>
      <c r="M14" s="138"/>
      <c r="N14" s="138"/>
      <c r="O14" s="138"/>
      <c r="P14" s="138"/>
      <c r="Q14" s="138"/>
      <c r="R14" s="139"/>
      <c r="S14" s="127"/>
      <c r="T14" s="128"/>
    </row>
    <row r="15" spans="1:20" s="134" customFormat="1" ht="76.5" customHeight="1" x14ac:dyDescent="0.5">
      <c r="A15" s="148" t="s">
        <v>194</v>
      </c>
      <c r="B15" s="148"/>
      <c r="C15" s="127">
        <f t="shared" ref="C15:H15" si="2">SUM(C9:C14)</f>
        <v>15</v>
      </c>
      <c r="D15" s="127">
        <f t="shared" si="2"/>
        <v>4</v>
      </c>
      <c r="E15" s="127">
        <f t="shared" si="2"/>
        <v>12</v>
      </c>
      <c r="F15" s="127">
        <f t="shared" si="2"/>
        <v>25</v>
      </c>
      <c r="G15" s="127">
        <f t="shared" si="2"/>
        <v>14</v>
      </c>
      <c r="H15" s="127">
        <f t="shared" si="2"/>
        <v>12</v>
      </c>
      <c r="I15" s="127"/>
      <c r="J15" s="127"/>
      <c r="K15" s="127"/>
      <c r="L15" s="127"/>
      <c r="M15" s="127"/>
      <c r="N15" s="127"/>
      <c r="O15" s="127"/>
      <c r="P15" s="127"/>
      <c r="Q15" s="127"/>
      <c r="R15" s="140"/>
      <c r="S15" s="141">
        <f>SUM(S9:S14)</f>
        <v>26</v>
      </c>
      <c r="T15" s="128"/>
    </row>
    <row r="33" spans="1:17" ht="146.25" customHeight="1" x14ac:dyDescent="0.25">
      <c r="A33" s="146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</row>
  </sheetData>
  <mergeCells count="17">
    <mergeCell ref="A33:Q33"/>
    <mergeCell ref="F6:F7"/>
    <mergeCell ref="A15:B15"/>
    <mergeCell ref="A6:A7"/>
    <mergeCell ref="B6:B7"/>
    <mergeCell ref="A8:B8"/>
    <mergeCell ref="C6:E6"/>
    <mergeCell ref="G6:H6"/>
    <mergeCell ref="I6:Q6"/>
    <mergeCell ref="T6:T7"/>
    <mergeCell ref="A1:T1"/>
    <mergeCell ref="A2:T2"/>
    <mergeCell ref="A3:T3"/>
    <mergeCell ref="A4:T4"/>
    <mergeCell ref="S6:S7"/>
    <mergeCell ref="A5:R5"/>
    <mergeCell ref="R6:R7"/>
  </mergeCells>
  <conditionalFormatting sqref="A9:A14">
    <cfRule type="duplicateValues" dxfId="0" priority="1"/>
  </conditionalFormatting>
  <pageMargins left="1.2" right="0.7" top="0.75" bottom="0" header="0.3" footer="0.3"/>
  <pageSetup paperSize="9" scale="31" fitToHeight="0" orientation="landscape" r:id="rId1"/>
  <colBreaks count="1" manualBreakCount="1">
    <brk id="18" max="1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236DB-251C-4FAC-8BAE-6BA37C8F741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Z60"/>
  <sheetViews>
    <sheetView view="pageBreakPreview" zoomScaleSheetLayoutView="100" workbookViewId="0">
      <selection activeCell="E21" sqref="E21"/>
    </sheetView>
  </sheetViews>
  <sheetFormatPr defaultRowHeight="15" x14ac:dyDescent="0.25"/>
  <cols>
    <col min="1" max="1" width="5" customWidth="1"/>
    <col min="2" max="3" width="13.28515625" customWidth="1"/>
    <col min="4" max="4" width="12.42578125" customWidth="1"/>
    <col min="5" max="5" width="16.140625" customWidth="1"/>
    <col min="6" max="6" width="12.42578125" customWidth="1"/>
    <col min="7" max="7" width="13.42578125" customWidth="1"/>
    <col min="8" max="8" width="13.85546875" customWidth="1"/>
    <col min="9" max="9" width="13.140625" customWidth="1"/>
    <col min="10" max="10" width="13.7109375" customWidth="1"/>
    <col min="11" max="11" width="18.85546875" customWidth="1"/>
    <col min="12" max="12" width="16.7109375" customWidth="1"/>
    <col min="13" max="13" width="14.7109375" customWidth="1"/>
    <col min="14" max="15" width="12.28515625" customWidth="1"/>
    <col min="16" max="16" width="15.7109375" customWidth="1"/>
    <col min="17" max="17" width="13.140625" customWidth="1"/>
    <col min="18" max="18" width="13.5703125" customWidth="1"/>
    <col min="19" max="19" width="11.7109375" customWidth="1"/>
  </cols>
  <sheetData>
    <row r="1" spans="1:26" x14ac:dyDescent="0.25">
      <c r="A1" s="178" t="s">
        <v>21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</row>
    <row r="2" spans="1:26" ht="15.75" customHeight="1" thickBot="1" x14ac:dyDescent="0.3">
      <c r="A2" s="179" t="s">
        <v>58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</row>
    <row r="3" spans="1:26" ht="15" customHeight="1" thickBot="1" x14ac:dyDescent="0.3">
      <c r="A3" s="6" t="s">
        <v>46</v>
      </c>
      <c r="B3" s="7" t="s">
        <v>22</v>
      </c>
      <c r="C3" s="7" t="s">
        <v>1</v>
      </c>
      <c r="D3" s="22" t="s">
        <v>8</v>
      </c>
      <c r="E3" s="22" t="s">
        <v>49</v>
      </c>
      <c r="F3" s="22" t="s">
        <v>2</v>
      </c>
      <c r="G3" s="22" t="s">
        <v>3</v>
      </c>
      <c r="H3" s="22" t="s">
        <v>4</v>
      </c>
      <c r="I3" s="22" t="s">
        <v>6</v>
      </c>
      <c r="J3" s="22" t="s">
        <v>7</v>
      </c>
      <c r="K3" s="22" t="s">
        <v>5</v>
      </c>
      <c r="L3" s="22" t="s">
        <v>23</v>
      </c>
      <c r="M3" s="22" t="s">
        <v>60</v>
      </c>
      <c r="N3" s="22" t="s">
        <v>52</v>
      </c>
      <c r="O3" s="33" t="s">
        <v>55</v>
      </c>
      <c r="P3" s="22" t="s">
        <v>53</v>
      </c>
      <c r="Q3" s="22" t="s">
        <v>63</v>
      </c>
      <c r="R3" s="22" t="s">
        <v>61</v>
      </c>
      <c r="S3" s="22" t="s">
        <v>9</v>
      </c>
    </row>
    <row r="4" spans="1:26" ht="16.5" customHeight="1" x14ac:dyDescent="0.25">
      <c r="A4" s="158" t="s">
        <v>24</v>
      </c>
      <c r="B4" s="39" t="s">
        <v>25</v>
      </c>
      <c r="C4" s="17"/>
      <c r="D4" s="17"/>
      <c r="E4" s="17"/>
      <c r="F4" s="17"/>
      <c r="G4" s="17"/>
      <c r="H4" s="17" t="s">
        <v>140</v>
      </c>
      <c r="I4" s="17"/>
      <c r="J4" s="17" t="s">
        <v>100</v>
      </c>
      <c r="K4" s="17"/>
      <c r="L4" s="15" t="s">
        <v>152</v>
      </c>
      <c r="M4" s="47"/>
      <c r="N4" s="48"/>
      <c r="O4" s="47" t="s">
        <v>117</v>
      </c>
      <c r="P4" s="54"/>
      <c r="Q4" s="180" t="s">
        <v>131</v>
      </c>
      <c r="R4" s="47"/>
      <c r="S4" s="47"/>
    </row>
    <row r="5" spans="1:26" ht="15.75" customHeight="1" x14ac:dyDescent="0.25">
      <c r="A5" s="159"/>
      <c r="B5" s="40" t="s">
        <v>26</v>
      </c>
      <c r="C5" s="15"/>
      <c r="D5" s="15"/>
      <c r="E5" s="15" t="s">
        <v>71</v>
      </c>
      <c r="F5" s="15"/>
      <c r="G5" s="15"/>
      <c r="H5" s="15"/>
      <c r="I5" s="15" t="s">
        <v>92</v>
      </c>
      <c r="J5" s="15"/>
      <c r="K5" s="45" t="s">
        <v>146</v>
      </c>
      <c r="L5" s="15"/>
      <c r="M5" s="45"/>
      <c r="N5" s="49"/>
      <c r="O5" s="45"/>
      <c r="P5" s="83" t="s">
        <v>125</v>
      </c>
      <c r="Q5" s="181"/>
      <c r="R5" s="45"/>
      <c r="S5" s="45"/>
    </row>
    <row r="6" spans="1:26" ht="15.75" customHeight="1" thickBot="1" x14ac:dyDescent="0.3">
      <c r="A6" s="159"/>
      <c r="B6" s="42" t="s">
        <v>27</v>
      </c>
      <c r="C6" s="61" t="s">
        <v>137</v>
      </c>
      <c r="D6" s="16"/>
      <c r="E6" s="61" t="s">
        <v>72</v>
      </c>
      <c r="F6" s="61"/>
      <c r="G6" s="61" t="s">
        <v>83</v>
      </c>
      <c r="H6" s="61"/>
      <c r="I6" s="61" t="s">
        <v>93</v>
      </c>
      <c r="J6" s="61"/>
      <c r="K6" s="59"/>
      <c r="L6" s="61"/>
      <c r="M6" s="61" t="s">
        <v>107</v>
      </c>
      <c r="N6" s="52"/>
      <c r="O6" s="59"/>
      <c r="P6" s="58"/>
      <c r="Q6" s="58"/>
      <c r="R6" s="58"/>
      <c r="S6" s="58"/>
    </row>
    <row r="7" spans="1:26" ht="15.75" customHeight="1" thickBot="1" x14ac:dyDescent="0.3">
      <c r="A7" s="159"/>
      <c r="B7" s="93" t="s">
        <v>28</v>
      </c>
      <c r="C7" s="170" t="s">
        <v>64</v>
      </c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2"/>
    </row>
    <row r="8" spans="1:26" ht="15.75" customHeight="1" x14ac:dyDescent="0.25">
      <c r="A8" s="159"/>
      <c r="B8" s="43" t="s">
        <v>29</v>
      </c>
      <c r="C8" s="62"/>
      <c r="D8" s="62"/>
      <c r="E8" s="150" t="s">
        <v>73</v>
      </c>
      <c r="F8" s="150" t="s">
        <v>79</v>
      </c>
      <c r="G8" s="150" t="s">
        <v>84</v>
      </c>
      <c r="H8" s="150" t="s">
        <v>141</v>
      </c>
      <c r="I8" s="150" t="s">
        <v>94</v>
      </c>
      <c r="J8" s="150"/>
      <c r="K8" s="150" t="s">
        <v>147</v>
      </c>
      <c r="L8" s="62"/>
      <c r="M8" s="55"/>
      <c r="N8" s="98"/>
      <c r="O8" s="55" t="s">
        <v>119</v>
      </c>
      <c r="P8" s="99"/>
      <c r="Q8" s="108"/>
      <c r="R8" s="101" t="s">
        <v>135</v>
      </c>
      <c r="S8" s="102"/>
    </row>
    <row r="9" spans="1:26" ht="15.75" customHeight="1" x14ac:dyDescent="0.25">
      <c r="A9" s="159"/>
      <c r="B9" s="40" t="s">
        <v>30</v>
      </c>
      <c r="C9" s="61" t="s">
        <v>138</v>
      </c>
      <c r="D9" s="15"/>
      <c r="E9" s="151"/>
      <c r="F9" s="151"/>
      <c r="G9" s="151"/>
      <c r="H9" s="151"/>
      <c r="I9" s="151"/>
      <c r="J9" s="151"/>
      <c r="K9" s="151"/>
      <c r="L9" s="94"/>
      <c r="M9" s="15" t="s">
        <v>106</v>
      </c>
      <c r="N9" s="156"/>
      <c r="O9" s="45"/>
      <c r="P9" s="151"/>
      <c r="Q9" s="151"/>
      <c r="R9" s="55"/>
      <c r="S9" s="102"/>
    </row>
    <row r="10" spans="1:26" ht="15.75" customHeight="1" thickBot="1" x14ac:dyDescent="0.3">
      <c r="A10" s="160"/>
      <c r="B10" s="41" t="s">
        <v>31</v>
      </c>
      <c r="C10" s="60"/>
      <c r="D10" s="60"/>
      <c r="E10" s="23"/>
      <c r="F10" s="60"/>
      <c r="G10" s="60"/>
      <c r="H10" s="23"/>
      <c r="I10" s="23"/>
      <c r="J10" s="23"/>
      <c r="K10" s="60"/>
      <c r="L10" s="60"/>
      <c r="M10" s="56"/>
      <c r="N10" s="157"/>
      <c r="O10" s="56" t="s">
        <v>118</v>
      </c>
      <c r="P10" s="152"/>
      <c r="Q10" s="152"/>
      <c r="R10" s="56"/>
      <c r="S10" s="45" t="s">
        <v>132</v>
      </c>
    </row>
    <row r="11" spans="1:26" s="69" customFormat="1" ht="6" customHeight="1" thickBot="1" x14ac:dyDescent="0.3">
      <c r="A11" s="64"/>
      <c r="B11" s="65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8"/>
      <c r="N11" s="67"/>
      <c r="O11" s="68"/>
      <c r="P11" s="66"/>
      <c r="Q11" s="72"/>
      <c r="R11" s="68"/>
      <c r="S11" s="66"/>
      <c r="T11" s="79"/>
      <c r="U11" s="79"/>
      <c r="V11" s="79"/>
      <c r="W11" s="79"/>
      <c r="X11" s="79"/>
      <c r="Y11" s="79"/>
      <c r="Z11" s="79"/>
    </row>
    <row r="12" spans="1:26" ht="21.75" customHeight="1" thickBot="1" x14ac:dyDescent="0.3">
      <c r="A12" s="182" t="s">
        <v>32</v>
      </c>
      <c r="B12" s="39" t="s">
        <v>25</v>
      </c>
      <c r="C12" s="17"/>
      <c r="D12" s="17" t="s">
        <v>65</v>
      </c>
      <c r="E12" s="15" t="s">
        <v>72</v>
      </c>
      <c r="F12" s="17"/>
      <c r="G12" s="17" t="s">
        <v>85</v>
      </c>
      <c r="H12" s="17"/>
      <c r="I12" s="17"/>
      <c r="J12" s="45"/>
      <c r="K12" s="17"/>
      <c r="L12" s="17" t="s">
        <v>133</v>
      </c>
      <c r="M12" s="47"/>
      <c r="N12" s="14" t="s">
        <v>112</v>
      </c>
      <c r="O12" s="56" t="s">
        <v>120</v>
      </c>
      <c r="P12" s="103"/>
      <c r="Q12" s="105"/>
      <c r="R12" s="104"/>
      <c r="S12" s="47"/>
      <c r="T12" s="79"/>
      <c r="U12" s="79"/>
      <c r="V12" s="79"/>
      <c r="W12" s="79"/>
      <c r="X12" s="79"/>
      <c r="Y12" s="79"/>
      <c r="Z12" s="79"/>
    </row>
    <row r="13" spans="1:26" ht="20.25" customHeight="1" thickBot="1" x14ac:dyDescent="0.3">
      <c r="A13" s="183"/>
      <c r="B13" s="40" t="s">
        <v>26</v>
      </c>
      <c r="C13" s="15"/>
      <c r="D13" s="15"/>
      <c r="E13" s="62"/>
      <c r="F13" s="15"/>
      <c r="G13" s="15"/>
      <c r="H13" s="15"/>
      <c r="I13" s="15" t="s">
        <v>93</v>
      </c>
      <c r="J13" s="82" t="s">
        <v>101</v>
      </c>
      <c r="K13" s="45" t="s">
        <v>148</v>
      </c>
      <c r="L13" s="84"/>
      <c r="M13" s="15" t="s">
        <v>106</v>
      </c>
      <c r="N13" s="49"/>
      <c r="O13" s="45"/>
      <c r="P13" s="83" t="s">
        <v>126</v>
      </c>
      <c r="Q13" s="101" t="s">
        <v>129</v>
      </c>
      <c r="R13" s="106"/>
      <c r="S13" s="107"/>
      <c r="T13" s="79"/>
      <c r="U13" s="79"/>
      <c r="V13" s="79"/>
      <c r="W13" s="79"/>
      <c r="X13" s="79"/>
      <c r="Y13" s="79"/>
      <c r="Z13" s="79"/>
    </row>
    <row r="14" spans="1:26" ht="15.75" customHeight="1" thickBot="1" x14ac:dyDescent="0.3">
      <c r="A14" s="183"/>
      <c r="B14" s="42" t="s">
        <v>27</v>
      </c>
      <c r="C14" s="61" t="s">
        <v>137</v>
      </c>
      <c r="D14" s="100" t="s">
        <v>66</v>
      </c>
      <c r="E14" s="61"/>
      <c r="F14" s="61"/>
      <c r="G14" s="61"/>
      <c r="H14" s="61" t="s">
        <v>89</v>
      </c>
      <c r="I14" s="61" t="s">
        <v>92</v>
      </c>
      <c r="J14" s="61"/>
      <c r="K14" s="59"/>
      <c r="L14" s="61"/>
      <c r="M14" s="61" t="s">
        <v>107</v>
      </c>
      <c r="N14" s="52"/>
      <c r="O14" s="59" t="s">
        <v>118</v>
      </c>
      <c r="P14" s="59"/>
      <c r="Q14" s="58"/>
      <c r="R14" s="58"/>
      <c r="S14" s="58"/>
      <c r="T14" s="79"/>
      <c r="U14" s="79"/>
      <c r="V14" s="79"/>
      <c r="W14" s="79"/>
      <c r="X14" s="79"/>
      <c r="Y14" s="79"/>
      <c r="Z14" s="79"/>
    </row>
    <row r="15" spans="1:26" ht="15.75" customHeight="1" thickBot="1" x14ac:dyDescent="0.3">
      <c r="A15" s="183"/>
      <c r="B15" s="93" t="s">
        <v>28</v>
      </c>
      <c r="C15" s="170" t="s">
        <v>64</v>
      </c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2"/>
      <c r="T15" s="79"/>
      <c r="U15" s="79"/>
      <c r="V15" s="79"/>
      <c r="W15" s="79"/>
      <c r="X15" s="79"/>
      <c r="Y15" s="79"/>
      <c r="Z15" s="79"/>
    </row>
    <row r="16" spans="1:26" ht="24" customHeight="1" x14ac:dyDescent="0.25">
      <c r="A16" s="183"/>
      <c r="B16" s="63" t="s">
        <v>29</v>
      </c>
      <c r="C16" s="150" t="s">
        <v>154</v>
      </c>
      <c r="D16" s="62" t="s">
        <v>67</v>
      </c>
      <c r="E16" s="150" t="s">
        <v>74</v>
      </c>
      <c r="F16" s="150"/>
      <c r="G16" s="62" t="s">
        <v>83</v>
      </c>
      <c r="H16" s="62" t="s">
        <v>90</v>
      </c>
      <c r="I16" s="62" t="s">
        <v>95</v>
      </c>
      <c r="J16" s="82"/>
      <c r="K16" s="150" t="s">
        <v>149</v>
      </c>
      <c r="L16" s="62"/>
      <c r="M16" s="62"/>
      <c r="N16" s="155"/>
      <c r="O16" s="62" t="s">
        <v>121</v>
      </c>
      <c r="P16" s="83" t="s">
        <v>125</v>
      </c>
      <c r="Q16" s="62"/>
      <c r="R16" s="62"/>
      <c r="S16" s="62"/>
      <c r="T16" s="79"/>
      <c r="U16" s="79"/>
      <c r="V16" s="79"/>
      <c r="W16" s="79"/>
      <c r="X16" s="79"/>
      <c r="Y16" s="79"/>
      <c r="Z16" s="79"/>
    </row>
    <row r="17" spans="1:26" ht="15.75" customHeight="1" thickBot="1" x14ac:dyDescent="0.3">
      <c r="A17" s="183"/>
      <c r="B17" s="40" t="s">
        <v>30</v>
      </c>
      <c r="C17" s="151"/>
      <c r="D17" s="61"/>
      <c r="E17" s="151"/>
      <c r="F17" s="151"/>
      <c r="G17" s="61"/>
      <c r="H17" s="62" t="s">
        <v>140</v>
      </c>
      <c r="I17" s="15"/>
      <c r="J17" s="62" t="s">
        <v>100</v>
      </c>
      <c r="K17" s="151"/>
      <c r="L17" s="15" t="s">
        <v>153</v>
      </c>
      <c r="M17" s="23"/>
      <c r="N17" s="156"/>
      <c r="O17" s="15"/>
      <c r="P17" s="15"/>
      <c r="Q17" s="15"/>
      <c r="R17" s="15"/>
      <c r="S17" s="16"/>
      <c r="T17" s="79"/>
      <c r="U17" s="79"/>
      <c r="V17" s="79"/>
      <c r="W17" s="79"/>
      <c r="X17" s="79"/>
      <c r="Y17" s="79"/>
      <c r="Z17" s="79"/>
    </row>
    <row r="18" spans="1:26" ht="15.75" customHeight="1" thickBot="1" x14ac:dyDescent="0.3">
      <c r="A18" s="184"/>
      <c r="B18" s="63" t="s">
        <v>33</v>
      </c>
      <c r="C18" s="61"/>
      <c r="D18" s="61"/>
      <c r="E18" s="61"/>
      <c r="F18" s="61"/>
      <c r="G18" s="61"/>
      <c r="H18" s="61"/>
      <c r="I18" s="61"/>
      <c r="J18" s="16"/>
      <c r="K18" s="61"/>
      <c r="L18" s="16"/>
      <c r="M18" s="61"/>
      <c r="N18" s="52"/>
      <c r="O18" s="58"/>
      <c r="P18" s="58"/>
      <c r="Q18" s="61"/>
      <c r="R18" s="58"/>
      <c r="S18" s="59"/>
      <c r="T18" s="79"/>
      <c r="U18" s="79"/>
      <c r="V18" s="79"/>
      <c r="W18" s="79"/>
      <c r="X18" s="79"/>
      <c r="Y18" s="79"/>
      <c r="Z18" s="79"/>
    </row>
    <row r="19" spans="1:26" s="75" customFormat="1" ht="6" customHeight="1" thickBot="1" x14ac:dyDescent="0.3">
      <c r="A19" s="70"/>
      <c r="B19" s="71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3"/>
      <c r="O19" s="74"/>
      <c r="P19" s="74"/>
      <c r="Q19" s="72"/>
      <c r="R19" s="74"/>
      <c r="S19" s="81"/>
      <c r="T19" s="79"/>
      <c r="U19" s="79"/>
      <c r="V19" s="79"/>
      <c r="W19" s="79"/>
      <c r="X19" s="79"/>
      <c r="Y19" s="79"/>
      <c r="Z19" s="79"/>
    </row>
    <row r="20" spans="1:26" ht="15.75" customHeight="1" thickBot="1" x14ac:dyDescent="0.3">
      <c r="A20" s="158" t="s">
        <v>34</v>
      </c>
      <c r="B20" s="43" t="s">
        <v>25</v>
      </c>
      <c r="C20" s="61" t="s">
        <v>138</v>
      </c>
      <c r="D20" s="62"/>
      <c r="E20" s="62"/>
      <c r="F20" s="62"/>
      <c r="G20" s="62"/>
      <c r="H20" s="62"/>
      <c r="I20" s="15" t="s">
        <v>93</v>
      </c>
      <c r="J20" s="166" t="s">
        <v>102</v>
      </c>
      <c r="K20" s="45" t="s">
        <v>148</v>
      </c>
      <c r="L20" s="62"/>
      <c r="M20" s="15" t="s">
        <v>106</v>
      </c>
      <c r="N20" s="166" t="s">
        <v>113</v>
      </c>
      <c r="O20" s="56" t="s">
        <v>120</v>
      </c>
      <c r="P20" s="55"/>
      <c r="Q20" s="55"/>
      <c r="R20" s="55"/>
      <c r="S20" s="55"/>
      <c r="T20" s="79"/>
      <c r="U20" s="79"/>
      <c r="V20" s="79"/>
      <c r="W20" s="79"/>
      <c r="X20" s="79"/>
      <c r="Y20" s="79"/>
      <c r="Z20" s="79"/>
    </row>
    <row r="21" spans="1:26" ht="15.75" customHeight="1" thickBot="1" x14ac:dyDescent="0.3">
      <c r="A21" s="159"/>
      <c r="B21" s="40" t="s">
        <v>26</v>
      </c>
      <c r="C21" s="15"/>
      <c r="D21" s="15"/>
      <c r="E21" s="15" t="s">
        <v>71</v>
      </c>
      <c r="F21" s="15" t="s">
        <v>77</v>
      </c>
      <c r="G21" s="15"/>
      <c r="H21" s="62" t="s">
        <v>142</v>
      </c>
      <c r="I21" s="15"/>
      <c r="J21" s="167"/>
      <c r="K21" s="45" t="s">
        <v>146</v>
      </c>
      <c r="L21" s="15"/>
      <c r="M21" s="45"/>
      <c r="N21" s="167"/>
      <c r="O21" s="45"/>
      <c r="P21" s="45"/>
      <c r="Q21" s="45"/>
      <c r="R21" s="47" t="s">
        <v>135</v>
      </c>
      <c r="S21" s="45"/>
      <c r="T21" s="79"/>
      <c r="U21" s="79"/>
      <c r="V21" s="79"/>
      <c r="W21" s="79"/>
      <c r="X21" s="79"/>
      <c r="Y21" s="79"/>
      <c r="Z21" s="79"/>
    </row>
    <row r="22" spans="1:26" ht="15.75" customHeight="1" thickBot="1" x14ac:dyDescent="0.3">
      <c r="A22" s="159"/>
      <c r="B22" s="40" t="s">
        <v>27</v>
      </c>
      <c r="C22" s="61" t="s">
        <v>137</v>
      </c>
      <c r="D22" s="15"/>
      <c r="E22" s="15"/>
      <c r="F22" s="15" t="s">
        <v>78</v>
      </c>
      <c r="G22" s="15"/>
      <c r="H22" s="15"/>
      <c r="I22" s="15" t="s">
        <v>96</v>
      </c>
      <c r="J22" s="17" t="s">
        <v>103</v>
      </c>
      <c r="K22" s="62"/>
      <c r="L22" s="15"/>
      <c r="M22" s="15" t="s">
        <v>107</v>
      </c>
      <c r="N22" s="49"/>
      <c r="O22" s="47" t="s">
        <v>119</v>
      </c>
      <c r="P22" s="55"/>
      <c r="Q22" s="45"/>
      <c r="R22" s="45"/>
      <c r="S22" s="55"/>
      <c r="T22" s="79"/>
      <c r="U22" s="79"/>
      <c r="V22" s="79"/>
      <c r="W22" s="79"/>
      <c r="X22" s="79"/>
      <c r="Y22" s="79"/>
      <c r="Z22" s="79"/>
    </row>
    <row r="23" spans="1:26" ht="15.75" customHeight="1" thickBot="1" x14ac:dyDescent="0.3">
      <c r="A23" s="159"/>
      <c r="B23" s="93" t="s">
        <v>28</v>
      </c>
      <c r="C23" s="170" t="s">
        <v>64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2"/>
      <c r="T23" s="79"/>
      <c r="U23" s="79"/>
      <c r="V23" s="79"/>
      <c r="W23" s="79"/>
      <c r="X23" s="79"/>
      <c r="Y23" s="79"/>
      <c r="Z23" s="79"/>
    </row>
    <row r="24" spans="1:26" ht="15.75" customHeight="1" x14ac:dyDescent="0.25">
      <c r="A24" s="159"/>
      <c r="B24" s="40" t="s">
        <v>29</v>
      </c>
      <c r="C24" s="15"/>
      <c r="D24" s="15"/>
      <c r="E24" s="151" t="s">
        <v>75</v>
      </c>
      <c r="F24" s="151" t="s">
        <v>80</v>
      </c>
      <c r="G24" s="151" t="s">
        <v>86</v>
      </c>
      <c r="H24" s="151" t="s">
        <v>143</v>
      </c>
      <c r="I24" s="151" t="s">
        <v>97</v>
      </c>
      <c r="J24" s="82" t="s">
        <v>104</v>
      </c>
      <c r="K24" s="151" t="s">
        <v>150</v>
      </c>
      <c r="L24" s="61"/>
      <c r="M24" s="151" t="s">
        <v>108</v>
      </c>
      <c r="N24" s="51"/>
      <c r="O24" s="45"/>
      <c r="P24" s="94"/>
      <c r="Q24" s="101" t="s">
        <v>129</v>
      </c>
      <c r="R24" s="45"/>
      <c r="S24" s="55"/>
      <c r="T24" s="79"/>
      <c r="U24" s="79"/>
      <c r="V24" s="79"/>
      <c r="W24" s="79"/>
      <c r="X24" s="79"/>
      <c r="Y24" s="79"/>
      <c r="Z24" s="79"/>
    </row>
    <row r="25" spans="1:26" ht="15.75" customHeight="1" x14ac:dyDescent="0.25">
      <c r="A25" s="159"/>
      <c r="B25" s="40" t="s">
        <v>30</v>
      </c>
      <c r="C25" s="15"/>
      <c r="D25" s="15"/>
      <c r="E25" s="151"/>
      <c r="F25" s="151"/>
      <c r="G25" s="151"/>
      <c r="H25" s="151"/>
      <c r="I25" s="151"/>
      <c r="J25" s="45"/>
      <c r="K25" s="165"/>
      <c r="L25" s="113" t="s">
        <v>133</v>
      </c>
      <c r="M25" s="163"/>
      <c r="N25" s="153"/>
      <c r="O25" s="58"/>
      <c r="P25" s="45"/>
      <c r="Q25" s="58"/>
      <c r="R25" s="58"/>
      <c r="S25" s="151"/>
      <c r="T25" s="79"/>
      <c r="U25" s="79"/>
      <c r="V25" s="79"/>
      <c r="W25" s="79"/>
      <c r="X25" s="79"/>
      <c r="Y25" s="79"/>
      <c r="Z25" s="79"/>
    </row>
    <row r="26" spans="1:26" ht="15.75" customHeight="1" thickBot="1" x14ac:dyDescent="0.3">
      <c r="A26" s="160"/>
      <c r="B26" s="42" t="s">
        <v>33</v>
      </c>
      <c r="C26" s="61"/>
      <c r="D26" s="16"/>
      <c r="E26" s="15"/>
      <c r="F26" s="15"/>
      <c r="G26" s="15"/>
      <c r="H26" s="61"/>
      <c r="I26" s="61"/>
      <c r="J26" s="16"/>
      <c r="K26" s="15"/>
      <c r="L26" s="16"/>
      <c r="M26" s="15"/>
      <c r="N26" s="154"/>
      <c r="O26" s="59"/>
      <c r="P26" s="59"/>
      <c r="Q26" s="58"/>
      <c r="R26" s="59"/>
      <c r="S26" s="152"/>
      <c r="T26" s="79"/>
      <c r="U26" s="79"/>
      <c r="V26" s="79"/>
      <c r="W26" s="79"/>
      <c r="X26" s="79"/>
      <c r="Y26" s="79"/>
      <c r="Z26" s="79"/>
    </row>
    <row r="27" spans="1:26" s="75" customFormat="1" ht="7.5" customHeight="1" thickBot="1" x14ac:dyDescent="0.3">
      <c r="A27" s="76"/>
      <c r="B27" s="71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4"/>
      <c r="N27" s="77"/>
      <c r="O27" s="74"/>
      <c r="P27" s="74"/>
      <c r="Q27" s="72"/>
      <c r="R27" s="74"/>
      <c r="S27" s="72"/>
      <c r="T27" s="80"/>
      <c r="U27" s="80"/>
      <c r="V27" s="80"/>
      <c r="W27" s="80"/>
      <c r="X27" s="80"/>
      <c r="Y27" s="80"/>
      <c r="Z27" s="80"/>
    </row>
    <row r="28" spans="1:26" ht="15.75" customHeight="1" thickBot="1" x14ac:dyDescent="0.3">
      <c r="A28" s="159" t="s">
        <v>35</v>
      </c>
      <c r="B28" s="43" t="s">
        <v>25</v>
      </c>
      <c r="C28" s="61" t="s">
        <v>137</v>
      </c>
      <c r="D28" s="17" t="s">
        <v>66</v>
      </c>
      <c r="E28" s="62"/>
      <c r="F28" s="62"/>
      <c r="G28" s="62"/>
      <c r="H28" s="62" t="s">
        <v>142</v>
      </c>
      <c r="I28" s="62"/>
      <c r="J28" s="62"/>
      <c r="K28" s="62"/>
      <c r="L28" s="15" t="s">
        <v>153</v>
      </c>
      <c r="M28" s="55"/>
      <c r="N28" s="50" t="s">
        <v>114</v>
      </c>
      <c r="O28" s="56" t="s">
        <v>118</v>
      </c>
      <c r="P28" s="55"/>
      <c r="Q28" s="55"/>
      <c r="R28" s="55"/>
      <c r="S28" s="55"/>
      <c r="T28" s="79"/>
      <c r="U28" s="79"/>
      <c r="V28" s="79"/>
      <c r="W28" s="79"/>
      <c r="X28" s="79"/>
      <c r="Y28" s="79"/>
      <c r="Z28" s="79"/>
    </row>
    <row r="29" spans="1:26" ht="15.75" customHeight="1" thickBot="1" x14ac:dyDescent="0.3">
      <c r="A29" s="159"/>
      <c r="B29" s="40" t="s">
        <v>26</v>
      </c>
      <c r="C29" s="15"/>
      <c r="D29" s="55"/>
      <c r="E29" s="15" t="s">
        <v>72</v>
      </c>
      <c r="F29" s="15" t="s">
        <v>78</v>
      </c>
      <c r="G29" s="15"/>
      <c r="H29" s="15"/>
      <c r="I29" s="15" t="s">
        <v>93</v>
      </c>
      <c r="J29" s="62"/>
      <c r="K29" s="45"/>
      <c r="L29" s="151"/>
      <c r="M29" s="45"/>
      <c r="N29" s="50" t="s">
        <v>115</v>
      </c>
      <c r="O29" s="47" t="s">
        <v>117</v>
      </c>
      <c r="P29" s="55"/>
      <c r="Q29" s="101" t="s">
        <v>129</v>
      </c>
      <c r="R29" s="45"/>
      <c r="S29" s="45"/>
      <c r="T29" s="79"/>
      <c r="U29" s="79"/>
      <c r="V29" s="79"/>
      <c r="W29" s="79"/>
      <c r="X29" s="79"/>
      <c r="Y29" s="79"/>
      <c r="Z29" s="79"/>
    </row>
    <row r="30" spans="1:26" ht="15.75" customHeight="1" thickBot="1" x14ac:dyDescent="0.3">
      <c r="A30" s="159"/>
      <c r="B30" s="40" t="s">
        <v>27</v>
      </c>
      <c r="C30" s="61" t="s">
        <v>138</v>
      </c>
      <c r="D30" s="100" t="s">
        <v>65</v>
      </c>
      <c r="E30" s="61"/>
      <c r="F30" s="61" t="s">
        <v>77</v>
      </c>
      <c r="G30" s="61" t="s">
        <v>83</v>
      </c>
      <c r="H30" s="61"/>
      <c r="I30" s="61" t="s">
        <v>96</v>
      </c>
      <c r="J30" s="16"/>
      <c r="K30" s="59" t="s">
        <v>146</v>
      </c>
      <c r="L30" s="166"/>
      <c r="M30" s="59"/>
      <c r="N30" s="109"/>
      <c r="O30" s="59"/>
      <c r="P30" s="58"/>
      <c r="Q30" s="110"/>
      <c r="S30" s="112"/>
      <c r="T30" s="79"/>
      <c r="U30" s="79"/>
      <c r="V30" s="79"/>
      <c r="W30" s="79"/>
      <c r="X30" s="79"/>
      <c r="Y30" s="79"/>
      <c r="Z30" s="79"/>
    </row>
    <row r="31" spans="1:26" ht="15.75" customHeight="1" thickBot="1" x14ac:dyDescent="0.3">
      <c r="A31" s="159"/>
      <c r="B31" s="93" t="s">
        <v>28</v>
      </c>
      <c r="C31" s="170" t="s">
        <v>64</v>
      </c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2"/>
      <c r="T31" s="79"/>
      <c r="U31" s="79"/>
      <c r="V31" s="79"/>
      <c r="W31" s="79"/>
      <c r="X31" s="79"/>
      <c r="Y31" s="79"/>
      <c r="Z31" s="79"/>
    </row>
    <row r="32" spans="1:26" ht="24" customHeight="1" x14ac:dyDescent="0.25">
      <c r="A32" s="159"/>
      <c r="B32" s="40" t="s">
        <v>29</v>
      </c>
      <c r="C32" s="15"/>
      <c r="D32" s="17" t="s">
        <v>68</v>
      </c>
      <c r="E32" s="151" t="s">
        <v>76</v>
      </c>
      <c r="F32" s="15"/>
      <c r="G32" s="15"/>
      <c r="H32" s="15" t="s">
        <v>91</v>
      </c>
      <c r="I32" s="15" t="s">
        <v>98</v>
      </c>
      <c r="J32" s="62" t="s">
        <v>103</v>
      </c>
      <c r="K32" s="45"/>
      <c r="L32" s="15"/>
      <c r="M32" s="151" t="s">
        <v>109</v>
      </c>
      <c r="N32" s="156"/>
      <c r="O32" s="45" t="s">
        <v>122</v>
      </c>
      <c r="P32" s="83" t="s">
        <v>126</v>
      </c>
      <c r="Q32" s="151" t="s">
        <v>130</v>
      </c>
      <c r="R32" s="45"/>
      <c r="S32" s="45"/>
      <c r="T32" s="79"/>
      <c r="U32" s="79"/>
      <c r="V32" s="79"/>
      <c r="W32" s="79"/>
      <c r="X32" s="79"/>
      <c r="Y32" s="79"/>
      <c r="Z32" s="79"/>
    </row>
    <row r="33" spans="1:26" ht="15.75" customHeight="1" x14ac:dyDescent="0.25">
      <c r="A33" s="159"/>
      <c r="B33" s="40" t="s">
        <v>30</v>
      </c>
      <c r="C33" s="15"/>
      <c r="D33" s="15"/>
      <c r="E33" s="151"/>
      <c r="F33" s="151" t="s">
        <v>81</v>
      </c>
      <c r="G33" s="151" t="s">
        <v>87</v>
      </c>
      <c r="H33" s="151" t="s">
        <v>144</v>
      </c>
      <c r="I33" s="151" t="s">
        <v>99</v>
      </c>
      <c r="J33" s="15"/>
      <c r="K33" s="151"/>
      <c r="L33" s="15" t="s">
        <v>152</v>
      </c>
      <c r="M33" s="151"/>
      <c r="N33" s="156"/>
      <c r="O33" s="55"/>
      <c r="P33" s="55"/>
      <c r="Q33" s="151"/>
      <c r="R33" s="55"/>
      <c r="S33" s="55"/>
      <c r="T33" s="79"/>
      <c r="U33" s="79"/>
      <c r="V33" s="79"/>
      <c r="W33" s="79"/>
      <c r="X33" s="79"/>
      <c r="Y33" s="79"/>
      <c r="Z33" s="79"/>
    </row>
    <row r="34" spans="1:26" ht="15.75" customHeight="1" thickBot="1" x14ac:dyDescent="0.3">
      <c r="A34" s="160"/>
      <c r="B34" s="41" t="s">
        <v>33</v>
      </c>
      <c r="C34" s="60"/>
      <c r="D34" s="60"/>
      <c r="E34" s="85"/>
      <c r="F34" s="151"/>
      <c r="G34" s="151"/>
      <c r="H34" s="151"/>
      <c r="I34" s="151"/>
      <c r="J34" s="23"/>
      <c r="K34" s="152"/>
      <c r="L34" s="113" t="s">
        <v>133</v>
      </c>
      <c r="M34" s="23"/>
      <c r="N34" s="44"/>
      <c r="O34" s="56"/>
      <c r="P34" s="56"/>
      <c r="Q34" s="57"/>
      <c r="R34" s="56"/>
      <c r="S34" s="56"/>
      <c r="T34" s="79"/>
      <c r="U34" s="79"/>
      <c r="V34" s="79"/>
      <c r="W34" s="79"/>
      <c r="X34" s="79"/>
      <c r="Y34" s="79"/>
      <c r="Z34" s="79"/>
    </row>
    <row r="35" spans="1:26" ht="7.5" customHeight="1" thickBot="1" x14ac:dyDescent="0.3">
      <c r="A35" s="76"/>
      <c r="B35" s="71"/>
      <c r="C35" s="72"/>
      <c r="D35" s="72"/>
      <c r="E35" s="86"/>
      <c r="F35" s="72"/>
      <c r="G35" s="72"/>
      <c r="H35" s="72"/>
      <c r="I35" s="72"/>
      <c r="J35" s="72"/>
      <c r="K35" s="72"/>
      <c r="L35" s="72"/>
      <c r="M35" s="72"/>
      <c r="N35" s="77"/>
      <c r="O35" s="74"/>
      <c r="P35" s="74"/>
      <c r="Q35" s="74"/>
      <c r="R35" s="74"/>
      <c r="S35" s="74"/>
      <c r="T35" s="79"/>
      <c r="U35" s="79"/>
      <c r="V35" s="79"/>
      <c r="W35" s="79"/>
      <c r="X35" s="79"/>
      <c r="Y35" s="79"/>
      <c r="Z35" s="79"/>
    </row>
    <row r="36" spans="1:26" ht="15.75" customHeight="1" thickBot="1" x14ac:dyDescent="0.3">
      <c r="A36" s="158" t="s">
        <v>36</v>
      </c>
      <c r="B36" s="39" t="s">
        <v>25</v>
      </c>
      <c r="C36" s="17"/>
      <c r="D36" s="17"/>
      <c r="E36" s="17"/>
      <c r="F36" s="17"/>
      <c r="G36" s="17"/>
      <c r="H36" s="17"/>
      <c r="I36" s="17"/>
      <c r="J36" s="62" t="s">
        <v>103</v>
      </c>
      <c r="K36" s="46"/>
      <c r="L36" s="17"/>
      <c r="M36" s="15" t="s">
        <v>107</v>
      </c>
      <c r="N36" s="50" t="s">
        <v>115</v>
      </c>
      <c r="O36" s="47" t="s">
        <v>119</v>
      </c>
      <c r="P36" s="83" t="s">
        <v>126</v>
      </c>
      <c r="Q36" s="101" t="s">
        <v>129</v>
      </c>
      <c r="R36" s="47"/>
      <c r="S36" s="47"/>
      <c r="T36" s="79"/>
      <c r="U36" s="79"/>
      <c r="V36" s="79"/>
      <c r="W36" s="79"/>
      <c r="X36" s="79"/>
      <c r="Y36" s="79"/>
      <c r="Z36" s="79"/>
    </row>
    <row r="37" spans="1:26" ht="15.75" customHeight="1" x14ac:dyDescent="0.25">
      <c r="A37" s="159"/>
      <c r="B37" s="40" t="s">
        <v>26</v>
      </c>
      <c r="C37" s="61"/>
      <c r="D37" s="62"/>
      <c r="E37" s="15" t="s">
        <v>72</v>
      </c>
      <c r="F37" s="15" t="s">
        <v>77</v>
      </c>
      <c r="G37" s="29"/>
      <c r="H37" s="62" t="s">
        <v>142</v>
      </c>
      <c r="I37" s="15"/>
      <c r="J37" s="16"/>
      <c r="K37" s="45" t="s">
        <v>148</v>
      </c>
      <c r="L37" s="15"/>
      <c r="M37" s="45"/>
      <c r="N37" s="50" t="s">
        <v>114</v>
      </c>
      <c r="O37" s="47"/>
      <c r="P37" s="47"/>
      <c r="Q37" s="45"/>
      <c r="R37" s="45"/>
      <c r="S37" s="45" t="s">
        <v>132</v>
      </c>
      <c r="T37" s="79"/>
      <c r="U37" s="79"/>
      <c r="V37" s="79"/>
      <c r="W37" s="79"/>
      <c r="X37" s="79"/>
      <c r="Y37" s="79"/>
      <c r="Z37" s="79"/>
    </row>
    <row r="38" spans="1:26" ht="15.75" customHeight="1" thickBot="1" x14ac:dyDescent="0.3">
      <c r="A38" s="159"/>
      <c r="B38" s="40" t="s">
        <v>27</v>
      </c>
      <c r="C38" s="15"/>
      <c r="D38" s="62"/>
      <c r="E38" s="15" t="s">
        <v>71</v>
      </c>
      <c r="F38" s="15"/>
      <c r="G38" s="15" t="s">
        <v>85</v>
      </c>
      <c r="H38" s="15"/>
      <c r="I38" s="15" t="s">
        <v>92</v>
      </c>
      <c r="J38" s="82" t="s">
        <v>104</v>
      </c>
      <c r="K38" s="15"/>
      <c r="L38" s="15"/>
      <c r="M38" s="15" t="s">
        <v>106</v>
      </c>
      <c r="N38" s="50"/>
      <c r="O38" s="55"/>
      <c r="P38" s="45"/>
      <c r="Q38" s="55"/>
      <c r="R38" s="55"/>
      <c r="S38" s="45" t="s">
        <v>132</v>
      </c>
      <c r="T38" s="79"/>
      <c r="U38" s="79"/>
      <c r="V38" s="79"/>
      <c r="W38" s="79"/>
      <c r="X38" s="79"/>
      <c r="Y38" s="79"/>
      <c r="Z38" s="79"/>
    </row>
    <row r="39" spans="1:26" ht="15.75" customHeight="1" thickBot="1" x14ac:dyDescent="0.3">
      <c r="A39" s="159"/>
      <c r="B39" s="93" t="s">
        <v>28</v>
      </c>
      <c r="C39" s="170" t="s">
        <v>64</v>
      </c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2"/>
      <c r="T39" s="79"/>
      <c r="U39" s="79"/>
      <c r="V39" s="79"/>
      <c r="W39" s="79"/>
      <c r="X39" s="79"/>
      <c r="Y39" s="79"/>
      <c r="Z39" s="79"/>
    </row>
    <row r="40" spans="1:26" ht="15.75" customHeight="1" x14ac:dyDescent="0.25">
      <c r="A40" s="159"/>
      <c r="B40" s="40" t="s">
        <v>29</v>
      </c>
      <c r="C40" s="62" t="s">
        <v>138</v>
      </c>
      <c r="D40" s="62"/>
      <c r="E40" s="150"/>
      <c r="F40" s="62"/>
      <c r="G40" s="150"/>
      <c r="H40" s="62"/>
      <c r="I40" s="62" t="s">
        <v>96</v>
      </c>
      <c r="J40" s="62"/>
      <c r="K40" s="150" t="s">
        <v>151</v>
      </c>
      <c r="L40" s="150"/>
      <c r="M40" s="150" t="s">
        <v>110</v>
      </c>
      <c r="N40" s="50"/>
      <c r="O40" s="101" t="s">
        <v>120</v>
      </c>
      <c r="P40" s="102"/>
      <c r="Q40" s="55"/>
      <c r="R40" s="55"/>
      <c r="S40" s="55"/>
      <c r="T40" s="79"/>
      <c r="U40" s="79"/>
      <c r="V40" s="79"/>
      <c r="W40" s="79"/>
      <c r="X40" s="79"/>
      <c r="Y40" s="79"/>
      <c r="Z40" s="79"/>
    </row>
    <row r="41" spans="1:26" ht="15.75" customHeight="1" x14ac:dyDescent="0.25">
      <c r="A41" s="159"/>
      <c r="B41" s="40" t="s">
        <v>30</v>
      </c>
      <c r="C41" s="62"/>
      <c r="D41" s="166"/>
      <c r="E41" s="151"/>
      <c r="F41" s="15"/>
      <c r="G41" s="151"/>
      <c r="H41" s="15" t="s">
        <v>89</v>
      </c>
      <c r="I41" s="62"/>
      <c r="J41" s="150"/>
      <c r="K41" s="151"/>
      <c r="L41" s="151"/>
      <c r="M41" s="151"/>
      <c r="N41" s="13"/>
      <c r="O41" s="62"/>
      <c r="P41" s="15"/>
      <c r="Q41" s="45"/>
      <c r="R41" s="150" t="s">
        <v>136</v>
      </c>
      <c r="S41" s="45"/>
      <c r="T41" s="79"/>
      <c r="U41" s="79"/>
      <c r="V41" s="79"/>
      <c r="W41" s="79"/>
      <c r="X41" s="79"/>
      <c r="Y41" s="79"/>
      <c r="Z41" s="79"/>
    </row>
    <row r="42" spans="1:26" ht="15.75" customHeight="1" thickBot="1" x14ac:dyDescent="0.3">
      <c r="A42" s="159"/>
      <c r="B42" s="42" t="s">
        <v>33</v>
      </c>
      <c r="C42" s="61"/>
      <c r="D42" s="175"/>
      <c r="E42" s="16"/>
      <c r="F42" s="61"/>
      <c r="G42" s="38"/>
      <c r="H42" s="16"/>
      <c r="I42" s="61"/>
      <c r="J42" s="166"/>
      <c r="K42" s="61"/>
      <c r="L42" s="61"/>
      <c r="M42" s="16"/>
      <c r="N42" s="52"/>
      <c r="O42" s="59"/>
      <c r="P42" s="58"/>
      <c r="Q42" s="59"/>
      <c r="R42" s="151"/>
      <c r="S42" s="59"/>
      <c r="T42" s="79"/>
      <c r="U42" s="79"/>
      <c r="V42" s="79"/>
      <c r="W42" s="79"/>
      <c r="X42" s="79"/>
      <c r="Y42" s="79"/>
      <c r="Z42" s="79"/>
    </row>
    <row r="43" spans="1:26" ht="7.5" customHeight="1" thickBot="1" x14ac:dyDescent="0.3">
      <c r="A43" s="76"/>
      <c r="B43" s="71"/>
      <c r="C43" s="72"/>
      <c r="D43" s="87"/>
      <c r="E43" s="72"/>
      <c r="F43" s="72"/>
      <c r="G43" s="78"/>
      <c r="H43" s="72"/>
      <c r="I43" s="72"/>
      <c r="J43" s="72"/>
      <c r="K43" s="72"/>
      <c r="L43" s="72"/>
      <c r="M43" s="72"/>
      <c r="N43" s="73"/>
      <c r="O43" s="74"/>
      <c r="P43" s="74"/>
      <c r="Q43" s="74"/>
      <c r="R43" s="74"/>
      <c r="S43" s="74"/>
      <c r="T43" s="79"/>
      <c r="U43" s="79"/>
      <c r="V43" s="79"/>
      <c r="W43" s="79"/>
      <c r="X43" s="79"/>
      <c r="Y43" s="79"/>
      <c r="Z43" s="79"/>
    </row>
    <row r="44" spans="1:26" ht="30" customHeight="1" thickBot="1" x14ac:dyDescent="0.3">
      <c r="A44" s="158" t="s">
        <v>37</v>
      </c>
      <c r="B44" s="39" t="s">
        <v>25</v>
      </c>
      <c r="C44" s="150" t="s">
        <v>139</v>
      </c>
      <c r="D44" s="100" t="s">
        <v>69</v>
      </c>
      <c r="E44" s="27" t="s">
        <v>71</v>
      </c>
      <c r="F44" s="17"/>
      <c r="G44" s="17"/>
      <c r="H44" s="15" t="s">
        <v>89</v>
      </c>
      <c r="I44" s="17"/>
      <c r="J44" s="17" t="s">
        <v>100</v>
      </c>
      <c r="K44" s="47"/>
      <c r="L44" s="17"/>
      <c r="M44" s="47"/>
      <c r="N44" s="14"/>
      <c r="O44" s="45" t="s">
        <v>123</v>
      </c>
      <c r="P44" s="83" t="s">
        <v>125</v>
      </c>
      <c r="Q44" s="151"/>
      <c r="R44" s="47"/>
      <c r="S44" s="47"/>
      <c r="T44" s="79"/>
      <c r="U44" s="79"/>
      <c r="V44" s="79"/>
      <c r="W44" s="79"/>
      <c r="X44" s="79"/>
      <c r="Y44" s="79"/>
      <c r="Z44" s="79"/>
    </row>
    <row r="45" spans="1:26" ht="15.75" customHeight="1" x14ac:dyDescent="0.25">
      <c r="A45" s="159"/>
      <c r="B45" s="40" t="s">
        <v>26</v>
      </c>
      <c r="C45" s="151"/>
      <c r="D45" s="15" t="s">
        <v>66</v>
      </c>
      <c r="E45" s="27"/>
      <c r="F45" s="15" t="s">
        <v>78</v>
      </c>
      <c r="G45" s="15" t="s">
        <v>85</v>
      </c>
      <c r="H45" s="15"/>
      <c r="I45" s="15" t="s">
        <v>96</v>
      </c>
      <c r="J45" s="15"/>
      <c r="K45" s="45"/>
      <c r="L45" s="82"/>
      <c r="M45" s="45"/>
      <c r="N45" s="49"/>
      <c r="O45" s="47" t="s">
        <v>117</v>
      </c>
      <c r="P45" s="55"/>
      <c r="Q45" s="151"/>
      <c r="R45" s="45"/>
      <c r="S45" s="45"/>
      <c r="T45" s="79"/>
      <c r="U45" s="79"/>
      <c r="V45" s="79"/>
      <c r="W45" s="79"/>
      <c r="X45" s="79"/>
      <c r="Y45" s="79"/>
      <c r="Z45" s="79"/>
    </row>
    <row r="46" spans="1:26" ht="15.75" customHeight="1" thickBot="1" x14ac:dyDescent="0.3">
      <c r="A46" s="159"/>
      <c r="B46" s="40" t="s">
        <v>27</v>
      </c>
      <c r="C46" s="61"/>
      <c r="D46" s="23" t="s">
        <v>65</v>
      </c>
      <c r="E46" s="27"/>
      <c r="F46" s="15"/>
      <c r="G46" s="15"/>
      <c r="H46" s="62" t="s">
        <v>140</v>
      </c>
      <c r="I46" s="15" t="s">
        <v>92</v>
      </c>
      <c r="J46" s="62"/>
      <c r="K46" s="45" t="s">
        <v>146</v>
      </c>
      <c r="L46" s="61"/>
      <c r="M46" s="45"/>
      <c r="N46" s="50" t="s">
        <v>115</v>
      </c>
      <c r="O46" s="45"/>
      <c r="P46" s="55"/>
      <c r="Q46" s="45"/>
      <c r="R46" s="111" t="s">
        <v>135</v>
      </c>
      <c r="S46" s="45"/>
      <c r="T46" s="79"/>
      <c r="U46" s="79"/>
      <c r="V46" s="79"/>
      <c r="W46" s="79"/>
      <c r="X46" s="79"/>
      <c r="Y46" s="79"/>
      <c r="Z46" s="79"/>
    </row>
    <row r="47" spans="1:26" ht="15.75" customHeight="1" thickBot="1" x14ac:dyDescent="0.3">
      <c r="A47" s="159"/>
      <c r="B47" s="114" t="s">
        <v>28</v>
      </c>
      <c r="C47" s="170" t="s">
        <v>64</v>
      </c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2"/>
      <c r="T47" s="79"/>
      <c r="U47" s="79"/>
      <c r="V47" s="79"/>
      <c r="W47" s="79"/>
      <c r="X47" s="79"/>
      <c r="Y47" s="79"/>
      <c r="Z47" s="79"/>
    </row>
    <row r="48" spans="1:26" ht="15.75" customHeight="1" thickBot="1" x14ac:dyDescent="0.3">
      <c r="A48" s="159"/>
      <c r="B48" s="40" t="s">
        <v>29</v>
      </c>
      <c r="C48" s="151"/>
      <c r="D48" s="62"/>
      <c r="E48" s="151"/>
      <c r="F48" s="151" t="s">
        <v>82</v>
      </c>
      <c r="G48" s="151" t="s">
        <v>88</v>
      </c>
      <c r="H48" s="151" t="s">
        <v>145</v>
      </c>
      <c r="I48" s="151" t="s">
        <v>134</v>
      </c>
      <c r="J48" s="166" t="s">
        <v>105</v>
      </c>
      <c r="K48" s="45" t="s">
        <v>148</v>
      </c>
      <c r="L48" s="151"/>
      <c r="M48" s="166" t="s">
        <v>111</v>
      </c>
      <c r="N48" s="166" t="s">
        <v>116</v>
      </c>
      <c r="O48" s="45"/>
      <c r="P48" s="45"/>
      <c r="Q48" s="45"/>
      <c r="R48" s="45"/>
      <c r="S48" s="45"/>
      <c r="T48" s="79"/>
      <c r="U48" s="79"/>
      <c r="V48" s="79"/>
      <c r="W48" s="79"/>
      <c r="X48" s="79"/>
      <c r="Y48" s="79"/>
      <c r="Z48" s="79"/>
    </row>
    <row r="49" spans="1:26" ht="27.75" customHeight="1" x14ac:dyDescent="0.25">
      <c r="A49" s="159"/>
      <c r="B49" s="42" t="s">
        <v>38</v>
      </c>
      <c r="C49" s="151"/>
      <c r="D49" s="17" t="s">
        <v>70</v>
      </c>
      <c r="E49" s="151"/>
      <c r="F49" s="151"/>
      <c r="G49" s="151"/>
      <c r="H49" s="151"/>
      <c r="I49" s="151"/>
      <c r="J49" s="167"/>
      <c r="K49" s="151"/>
      <c r="L49" s="151"/>
      <c r="M49" s="167"/>
      <c r="N49" s="167"/>
      <c r="O49" s="45" t="s">
        <v>124</v>
      </c>
      <c r="P49" s="45"/>
      <c r="Q49" s="45"/>
      <c r="R49" s="45"/>
      <c r="S49" s="45"/>
      <c r="T49" s="79"/>
      <c r="U49" s="79"/>
      <c r="V49" s="79"/>
      <c r="W49" s="79"/>
      <c r="X49" s="79"/>
      <c r="Y49" s="79"/>
      <c r="Z49" s="79"/>
    </row>
    <row r="50" spans="1:26" ht="15.75" customHeight="1" thickBot="1" x14ac:dyDescent="0.3">
      <c r="A50" s="160"/>
      <c r="B50" s="41" t="s">
        <v>33</v>
      </c>
      <c r="C50" s="23"/>
      <c r="D50" s="23"/>
      <c r="E50" s="23"/>
      <c r="F50" s="23"/>
      <c r="G50" s="23"/>
      <c r="H50" s="23"/>
      <c r="I50" s="23"/>
      <c r="J50" s="23"/>
      <c r="K50" s="152"/>
      <c r="L50" s="23"/>
      <c r="M50" s="56"/>
      <c r="N50" s="53"/>
      <c r="O50" s="56"/>
      <c r="P50" s="56"/>
      <c r="Q50" s="56"/>
      <c r="R50" s="56"/>
      <c r="S50" s="56"/>
    </row>
    <row r="51" spans="1:26" x14ac:dyDescent="0.25">
      <c r="A51" s="161" t="s">
        <v>39</v>
      </c>
      <c r="B51" s="162"/>
      <c r="C51" s="18">
        <v>7</v>
      </c>
      <c r="D51" s="18">
        <v>8</v>
      </c>
      <c r="E51" s="17">
        <v>8</v>
      </c>
      <c r="F51" s="26">
        <v>6</v>
      </c>
      <c r="G51" s="26">
        <v>6</v>
      </c>
      <c r="H51" s="17">
        <v>9</v>
      </c>
      <c r="I51" s="17">
        <v>12</v>
      </c>
      <c r="J51" s="17">
        <v>9</v>
      </c>
      <c r="K51" s="17">
        <v>8</v>
      </c>
      <c r="L51" s="17">
        <v>6</v>
      </c>
      <c r="M51" s="18">
        <v>8</v>
      </c>
      <c r="N51" s="17">
        <v>6</v>
      </c>
      <c r="O51" s="14">
        <v>11</v>
      </c>
      <c r="P51" s="17">
        <v>6</v>
      </c>
      <c r="Q51" s="26">
        <v>4</v>
      </c>
      <c r="R51" s="17">
        <v>3</v>
      </c>
      <c r="S51" s="17">
        <v>2</v>
      </c>
    </row>
    <row r="52" spans="1:26" x14ac:dyDescent="0.25">
      <c r="A52" s="176" t="s">
        <v>40</v>
      </c>
      <c r="B52" s="177"/>
      <c r="C52" s="19">
        <v>2</v>
      </c>
      <c r="D52" s="25">
        <v>0</v>
      </c>
      <c r="E52" s="15">
        <v>8</v>
      </c>
      <c r="F52" s="27">
        <v>8</v>
      </c>
      <c r="G52" s="27">
        <v>8</v>
      </c>
      <c r="H52" s="15">
        <v>8</v>
      </c>
      <c r="I52" s="15">
        <v>8</v>
      </c>
      <c r="J52" s="15">
        <v>4</v>
      </c>
      <c r="K52" s="15">
        <v>8</v>
      </c>
      <c r="L52" s="15">
        <v>0</v>
      </c>
      <c r="M52" s="19">
        <v>8</v>
      </c>
      <c r="N52" s="15">
        <v>4</v>
      </c>
      <c r="O52" s="13">
        <v>0</v>
      </c>
      <c r="P52" s="15">
        <v>0</v>
      </c>
      <c r="Q52" s="20">
        <v>4</v>
      </c>
      <c r="R52" s="62">
        <v>2</v>
      </c>
      <c r="S52" s="62">
        <v>0</v>
      </c>
    </row>
    <row r="53" spans="1:26" ht="15.75" thickBot="1" x14ac:dyDescent="0.3">
      <c r="A53" s="173" t="s">
        <v>41</v>
      </c>
      <c r="B53" s="174"/>
      <c r="C53" s="24">
        <v>9</v>
      </c>
      <c r="D53" s="35">
        <v>8</v>
      </c>
      <c r="E53" s="61">
        <v>16</v>
      </c>
      <c r="F53" s="28">
        <v>14</v>
      </c>
      <c r="G53" s="28">
        <v>14</v>
      </c>
      <c r="H53" s="61">
        <v>17</v>
      </c>
      <c r="I53" s="61">
        <v>20</v>
      </c>
      <c r="J53" s="61">
        <v>13</v>
      </c>
      <c r="K53" s="61">
        <v>16</v>
      </c>
      <c r="L53" s="61">
        <v>6</v>
      </c>
      <c r="M53" s="24">
        <v>16</v>
      </c>
      <c r="N53" s="61">
        <v>10</v>
      </c>
      <c r="O53" s="36">
        <v>11</v>
      </c>
      <c r="P53" s="61">
        <v>6</v>
      </c>
      <c r="Q53" s="21">
        <v>8</v>
      </c>
      <c r="R53" s="16">
        <v>5</v>
      </c>
      <c r="S53" s="16">
        <v>2</v>
      </c>
    </row>
    <row r="54" spans="1:26" ht="15.75" thickBot="1" x14ac:dyDescent="0.3">
      <c r="A54" s="168" t="s">
        <v>10</v>
      </c>
      <c r="B54" s="169"/>
      <c r="C54" s="31">
        <v>8</v>
      </c>
      <c r="D54" s="31">
        <v>8</v>
      </c>
      <c r="E54" s="32">
        <v>12</v>
      </c>
      <c r="F54" s="34">
        <v>10</v>
      </c>
      <c r="G54" s="34">
        <v>10</v>
      </c>
      <c r="H54" s="32">
        <v>13</v>
      </c>
      <c r="I54" s="32">
        <v>16</v>
      </c>
      <c r="J54" s="32">
        <v>11</v>
      </c>
      <c r="K54" s="32">
        <v>12</v>
      </c>
      <c r="L54" s="32">
        <v>6</v>
      </c>
      <c r="M54" s="31">
        <v>12</v>
      </c>
      <c r="N54" s="32">
        <v>8</v>
      </c>
      <c r="O54" s="37">
        <v>11</v>
      </c>
      <c r="P54" s="32">
        <v>6</v>
      </c>
      <c r="Q54" s="34">
        <v>6</v>
      </c>
      <c r="R54" s="32">
        <v>4</v>
      </c>
      <c r="S54" s="32">
        <v>2</v>
      </c>
    </row>
    <row r="55" spans="1:26" s="30" customFormat="1" ht="15.75" thickBot="1" x14ac:dyDescent="0.3">
      <c r="A55" s="168" t="s">
        <v>42</v>
      </c>
      <c r="B55" s="169"/>
      <c r="C55" s="31"/>
      <c r="D55" s="88"/>
      <c r="E55" s="32"/>
      <c r="F55" s="34"/>
      <c r="G55" s="32"/>
      <c r="H55" s="32"/>
      <c r="I55" s="32"/>
      <c r="J55" s="32"/>
      <c r="K55" s="32"/>
      <c r="L55" s="32"/>
      <c r="M55" s="89"/>
      <c r="N55" s="90"/>
      <c r="O55" s="91"/>
      <c r="P55" s="90"/>
      <c r="Q55" s="92"/>
      <c r="R55" s="90"/>
      <c r="S55" s="90"/>
      <c r="T55"/>
      <c r="U55"/>
      <c r="V55"/>
      <c r="W55"/>
      <c r="X55"/>
      <c r="Y55"/>
      <c r="Z55"/>
    </row>
    <row r="56" spans="1:26" ht="15.75" x14ac:dyDescent="0.25">
      <c r="A56" s="1" t="s">
        <v>11</v>
      </c>
      <c r="B56" s="2"/>
      <c r="C56" s="95"/>
      <c r="D56" s="94"/>
      <c r="E56" s="1" t="s">
        <v>15</v>
      </c>
      <c r="F56" s="94"/>
      <c r="G56" s="94"/>
      <c r="H56" s="1" t="s">
        <v>12</v>
      </c>
      <c r="I56" s="94"/>
      <c r="J56" s="1" t="s">
        <v>62</v>
      </c>
      <c r="K56" s="96"/>
      <c r="L56" s="1" t="s">
        <v>57</v>
      </c>
      <c r="M56" s="96"/>
      <c r="N56" s="96"/>
      <c r="O56" s="96"/>
      <c r="P56" s="97"/>
      <c r="Q56" s="97"/>
      <c r="R56" s="97"/>
      <c r="S56" s="97"/>
    </row>
    <row r="57" spans="1:26" ht="15.75" x14ac:dyDescent="0.25">
      <c r="A57" s="1" t="s">
        <v>50</v>
      </c>
      <c r="B57" s="2"/>
      <c r="C57" s="2"/>
      <c r="E57" s="1" t="s">
        <v>16</v>
      </c>
      <c r="H57" s="1" t="s">
        <v>59</v>
      </c>
      <c r="J57" s="1" t="s">
        <v>56</v>
      </c>
      <c r="K57" s="1"/>
      <c r="L57" s="4" t="s">
        <v>20</v>
      </c>
      <c r="M57" s="1"/>
      <c r="N57" s="1"/>
      <c r="O57" s="1"/>
      <c r="P57" s="11"/>
      <c r="Q57" s="11"/>
      <c r="R57" s="11"/>
      <c r="S57" s="11"/>
    </row>
    <row r="58" spans="1:26" ht="15.75" x14ac:dyDescent="0.25">
      <c r="A58" s="1" t="s">
        <v>13</v>
      </c>
      <c r="B58" s="3"/>
      <c r="C58" s="3"/>
      <c r="E58" s="1" t="s">
        <v>17</v>
      </c>
      <c r="H58" s="1" t="s">
        <v>19</v>
      </c>
      <c r="I58" s="1"/>
      <c r="J58" s="1" t="s">
        <v>51</v>
      </c>
      <c r="K58" s="1"/>
      <c r="L58" s="1" t="s">
        <v>127</v>
      </c>
      <c r="M58" s="1"/>
      <c r="N58" s="1"/>
      <c r="O58" s="1"/>
      <c r="P58" s="12" t="s">
        <v>43</v>
      </c>
      <c r="Q58" s="8"/>
      <c r="R58" s="11" t="s">
        <v>44</v>
      </c>
      <c r="S58" s="8"/>
    </row>
    <row r="59" spans="1:26" ht="15.75" x14ac:dyDescent="0.25">
      <c r="A59" s="1" t="s">
        <v>14</v>
      </c>
      <c r="B59" s="2"/>
      <c r="C59" s="2"/>
      <c r="E59" s="1" t="s">
        <v>18</v>
      </c>
      <c r="I59" s="4"/>
      <c r="K59" s="1"/>
      <c r="L59" s="1"/>
      <c r="M59" s="1"/>
      <c r="N59" s="1"/>
      <c r="O59" s="1"/>
      <c r="P59" s="12" t="s">
        <v>45</v>
      </c>
      <c r="Q59" s="8"/>
      <c r="R59" s="10" t="s">
        <v>54</v>
      </c>
      <c r="S59" s="8"/>
    </row>
    <row r="60" spans="1:26" ht="15.75" x14ac:dyDescent="0.25">
      <c r="A60" s="1"/>
      <c r="B60" s="9"/>
      <c r="C60" s="9"/>
      <c r="H60" s="1" t="s">
        <v>128</v>
      </c>
      <c r="I60" s="9"/>
      <c r="J60" s="9"/>
      <c r="K60" s="164"/>
      <c r="L60" s="164"/>
      <c r="M60" s="5"/>
      <c r="N60" s="5"/>
      <c r="O60" s="5"/>
      <c r="P60" s="5"/>
      <c r="Q60" s="5"/>
      <c r="R60" s="5"/>
      <c r="S60" s="5"/>
    </row>
  </sheetData>
  <mergeCells count="78">
    <mergeCell ref="A12:A18"/>
    <mergeCell ref="K16:K17"/>
    <mergeCell ref="F16:F17"/>
    <mergeCell ref="N20:N21"/>
    <mergeCell ref="C44:C45"/>
    <mergeCell ref="C16:C17"/>
    <mergeCell ref="C15:S15"/>
    <mergeCell ref="C23:S23"/>
    <mergeCell ref="C31:S31"/>
    <mergeCell ref="C39:S39"/>
    <mergeCell ref="E16:E17"/>
    <mergeCell ref="E24:E25"/>
    <mergeCell ref="F24:F25"/>
    <mergeCell ref="G33:G34"/>
    <mergeCell ref="H24:H25"/>
    <mergeCell ref="K33:K34"/>
    <mergeCell ref="A1:S1"/>
    <mergeCell ref="A2:S2"/>
    <mergeCell ref="A4:A10"/>
    <mergeCell ref="H8:H9"/>
    <mergeCell ref="I8:I9"/>
    <mergeCell ref="E8:E9"/>
    <mergeCell ref="F8:F9"/>
    <mergeCell ref="G8:G9"/>
    <mergeCell ref="K8:K9"/>
    <mergeCell ref="J8:J9"/>
    <mergeCell ref="C7:S7"/>
    <mergeCell ref="Q4:Q5"/>
    <mergeCell ref="A20:A26"/>
    <mergeCell ref="I24:I25"/>
    <mergeCell ref="F33:F34"/>
    <mergeCell ref="J20:J21"/>
    <mergeCell ref="I33:I34"/>
    <mergeCell ref="G24:G25"/>
    <mergeCell ref="H33:H34"/>
    <mergeCell ref="A28:A34"/>
    <mergeCell ref="E32:E33"/>
    <mergeCell ref="A54:B54"/>
    <mergeCell ref="A55:B55"/>
    <mergeCell ref="K40:K41"/>
    <mergeCell ref="C47:S47"/>
    <mergeCell ref="J48:J49"/>
    <mergeCell ref="H48:H49"/>
    <mergeCell ref="E48:E49"/>
    <mergeCell ref="F48:F49"/>
    <mergeCell ref="K49:K50"/>
    <mergeCell ref="Q44:Q45"/>
    <mergeCell ref="N48:N49"/>
    <mergeCell ref="G40:G41"/>
    <mergeCell ref="G48:G49"/>
    <mergeCell ref="A53:B53"/>
    <mergeCell ref="D41:D42"/>
    <mergeCell ref="A52:B52"/>
    <mergeCell ref="M24:M25"/>
    <mergeCell ref="K60:L60"/>
    <mergeCell ref="L40:L41"/>
    <mergeCell ref="I48:I49"/>
    <mergeCell ref="L48:L49"/>
    <mergeCell ref="K24:K25"/>
    <mergeCell ref="L29:L30"/>
    <mergeCell ref="J41:J42"/>
    <mergeCell ref="M32:M33"/>
    <mergeCell ref="M40:M41"/>
    <mergeCell ref="M48:M49"/>
    <mergeCell ref="A44:A50"/>
    <mergeCell ref="C48:C49"/>
    <mergeCell ref="A36:A42"/>
    <mergeCell ref="A51:B51"/>
    <mergeCell ref="E40:E41"/>
    <mergeCell ref="R41:R42"/>
    <mergeCell ref="S25:S26"/>
    <mergeCell ref="P9:P10"/>
    <mergeCell ref="N25:N26"/>
    <mergeCell ref="Q9:Q10"/>
    <mergeCell ref="N16:N17"/>
    <mergeCell ref="N9:N10"/>
    <mergeCell ref="Q32:Q33"/>
    <mergeCell ref="N32:N33"/>
  </mergeCells>
  <pageMargins left="0.4" right="0.19" top="0.28999999999999998" bottom="0.2" header="0.3" footer="0.3"/>
  <pageSetup paperSize="8" scale="80" orientation="landscape" verticalDpi="300" r:id="rId1"/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"/>
  <sheetViews>
    <sheetView workbookViewId="0">
      <selection activeCell="J22" sqref="J22"/>
    </sheetView>
  </sheetViews>
  <sheetFormatPr defaultRowHeight="15" x14ac:dyDescent="0.25"/>
  <cols>
    <col min="1" max="1" width="5.85546875" customWidth="1"/>
    <col min="2" max="2" width="20.28515625" customWidth="1"/>
    <col min="3" max="3" width="15.28515625" customWidth="1"/>
    <col min="4" max="4" width="23.85546875" customWidth="1"/>
    <col min="5" max="5" width="14" customWidth="1"/>
    <col min="6" max="7" width="15.42578125" customWidth="1"/>
    <col min="8" max="8" width="9.42578125" customWidth="1"/>
    <col min="9" max="9" width="13.85546875" customWidth="1"/>
    <col min="10" max="10" width="16.5703125" customWidth="1"/>
    <col min="11" max="11" width="11.5703125" customWidth="1"/>
    <col min="12" max="12" width="32.85546875" customWidth="1"/>
    <col min="13" max="14" width="21.85546875" customWidth="1"/>
  </cols>
  <sheetData>
    <row r="1" spans="1:13" ht="20.25" customHeight="1" x14ac:dyDescent="0.25">
      <c r="A1" s="185" t="s">
        <v>158</v>
      </c>
      <c r="B1" s="186"/>
      <c r="C1" s="187"/>
      <c r="D1" s="187"/>
      <c r="E1" s="187"/>
      <c r="F1" s="187"/>
      <c r="G1" s="187"/>
      <c r="H1" s="187"/>
      <c r="I1" s="187"/>
      <c r="J1" s="188"/>
    </row>
    <row r="2" spans="1:13" ht="35.25" customHeight="1" x14ac:dyDescent="0.35">
      <c r="A2" s="117" t="s">
        <v>157</v>
      </c>
      <c r="B2" s="117" t="s">
        <v>159</v>
      </c>
      <c r="C2" s="118" t="s">
        <v>163</v>
      </c>
      <c r="D2" s="118" t="s">
        <v>164</v>
      </c>
      <c r="E2" s="117" t="s">
        <v>165</v>
      </c>
      <c r="F2" s="118" t="s">
        <v>166</v>
      </c>
      <c r="G2" s="118" t="s">
        <v>169</v>
      </c>
      <c r="H2" s="117" t="s">
        <v>167</v>
      </c>
      <c r="I2" s="117" t="s">
        <v>168</v>
      </c>
      <c r="J2" s="119" t="s">
        <v>160</v>
      </c>
      <c r="K2" s="116"/>
      <c r="L2" s="116"/>
      <c r="M2" s="116"/>
    </row>
    <row r="3" spans="1:13" ht="18" customHeight="1" x14ac:dyDescent="0.25">
      <c r="A3" s="117" t="s">
        <v>172</v>
      </c>
      <c r="B3" s="117" t="s">
        <v>161</v>
      </c>
      <c r="C3" s="120">
        <v>2</v>
      </c>
      <c r="D3" s="120">
        <v>5</v>
      </c>
      <c r="E3" s="120">
        <v>1</v>
      </c>
      <c r="F3" s="120">
        <v>4</v>
      </c>
      <c r="G3" s="120">
        <v>1</v>
      </c>
      <c r="H3" s="120">
        <v>5</v>
      </c>
      <c r="I3" s="120">
        <v>6</v>
      </c>
      <c r="J3" s="121">
        <f>SUM(C3:I3)</f>
        <v>24</v>
      </c>
    </row>
    <row r="4" spans="1:13" ht="18" customHeight="1" x14ac:dyDescent="0.25">
      <c r="A4" s="117" t="s">
        <v>173</v>
      </c>
      <c r="B4" s="117" t="s">
        <v>161</v>
      </c>
      <c r="C4" s="120">
        <v>2</v>
      </c>
      <c r="D4" s="120">
        <v>5</v>
      </c>
      <c r="E4" s="120">
        <v>1</v>
      </c>
      <c r="F4" s="120">
        <v>4</v>
      </c>
      <c r="G4" s="120">
        <v>1</v>
      </c>
      <c r="H4" s="120">
        <v>5</v>
      </c>
      <c r="I4" s="120">
        <v>6</v>
      </c>
      <c r="J4" s="121">
        <f t="shared" ref="J4:J12" si="0">SUM(C4:I4)</f>
        <v>24</v>
      </c>
    </row>
    <row r="5" spans="1:13" ht="18" customHeight="1" x14ac:dyDescent="0.25">
      <c r="A5" s="117" t="s">
        <v>174</v>
      </c>
      <c r="B5" s="117" t="s">
        <v>161</v>
      </c>
      <c r="C5" s="120">
        <v>2</v>
      </c>
      <c r="D5" s="120">
        <v>5</v>
      </c>
      <c r="E5" s="120">
        <v>1</v>
      </c>
      <c r="F5" s="120">
        <v>4</v>
      </c>
      <c r="G5" s="120">
        <v>1</v>
      </c>
      <c r="H5" s="120">
        <v>5</v>
      </c>
      <c r="I5" s="120">
        <v>6</v>
      </c>
      <c r="J5" s="121">
        <f t="shared" si="0"/>
        <v>24</v>
      </c>
      <c r="K5" s="115"/>
      <c r="L5" s="115"/>
      <c r="M5" s="115"/>
    </row>
    <row r="6" spans="1:13" ht="18" customHeight="1" x14ac:dyDescent="0.25">
      <c r="A6" s="117" t="s">
        <v>175</v>
      </c>
      <c r="B6" s="117" t="s">
        <v>161</v>
      </c>
      <c r="C6" s="120">
        <v>2</v>
      </c>
      <c r="D6" s="120">
        <v>5</v>
      </c>
      <c r="E6" s="120">
        <v>1</v>
      </c>
      <c r="F6" s="120">
        <v>4</v>
      </c>
      <c r="G6" s="120">
        <v>1</v>
      </c>
      <c r="H6" s="120">
        <v>5</v>
      </c>
      <c r="I6" s="120">
        <v>6</v>
      </c>
      <c r="J6" s="121">
        <f t="shared" si="0"/>
        <v>24</v>
      </c>
      <c r="K6" s="115"/>
      <c r="L6" s="115"/>
      <c r="M6" s="115"/>
    </row>
    <row r="7" spans="1:13" ht="18" customHeight="1" x14ac:dyDescent="0.25">
      <c r="A7" s="117" t="s">
        <v>155</v>
      </c>
      <c r="B7" s="117" t="s">
        <v>161</v>
      </c>
      <c r="C7" s="120">
        <v>2</v>
      </c>
      <c r="D7" s="120">
        <v>5</v>
      </c>
      <c r="E7" s="120">
        <v>1</v>
      </c>
      <c r="F7" s="120">
        <v>4</v>
      </c>
      <c r="G7" s="120">
        <v>1</v>
      </c>
      <c r="H7" s="120">
        <v>5</v>
      </c>
      <c r="I7" s="120">
        <v>6</v>
      </c>
      <c r="J7" s="121">
        <f t="shared" si="0"/>
        <v>24</v>
      </c>
      <c r="K7" s="115"/>
      <c r="L7" s="115"/>
      <c r="M7" s="115"/>
    </row>
    <row r="8" spans="1:13" ht="18" customHeight="1" x14ac:dyDescent="0.25">
      <c r="A8" s="117" t="s">
        <v>176</v>
      </c>
      <c r="B8" s="117" t="s">
        <v>162</v>
      </c>
      <c r="C8" s="120">
        <v>2</v>
      </c>
      <c r="D8" s="120">
        <v>5</v>
      </c>
      <c r="E8" s="120">
        <v>1</v>
      </c>
      <c r="F8" s="120">
        <v>4</v>
      </c>
      <c r="G8" s="120">
        <v>1</v>
      </c>
      <c r="H8" s="120">
        <v>5</v>
      </c>
      <c r="I8" s="120">
        <v>6</v>
      </c>
      <c r="J8" s="121">
        <f t="shared" si="0"/>
        <v>24</v>
      </c>
      <c r="K8" s="115"/>
      <c r="L8" s="115"/>
      <c r="M8" s="115"/>
    </row>
    <row r="9" spans="1:13" ht="36" customHeight="1" x14ac:dyDescent="0.25">
      <c r="A9" s="117" t="s">
        <v>157</v>
      </c>
      <c r="B9" s="117" t="s">
        <v>159</v>
      </c>
      <c r="C9" s="118" t="s">
        <v>163</v>
      </c>
      <c r="D9" s="118" t="s">
        <v>164</v>
      </c>
      <c r="E9" s="117" t="s">
        <v>165</v>
      </c>
      <c r="F9" s="118" t="s">
        <v>166</v>
      </c>
      <c r="G9" s="118" t="s">
        <v>169</v>
      </c>
      <c r="H9" s="117" t="s">
        <v>167</v>
      </c>
      <c r="I9" s="117" t="s">
        <v>168</v>
      </c>
      <c r="J9" s="119" t="s">
        <v>160</v>
      </c>
    </row>
    <row r="10" spans="1:13" ht="15.75" x14ac:dyDescent="0.25">
      <c r="A10" s="117" t="s">
        <v>177</v>
      </c>
      <c r="B10" s="117" t="s">
        <v>170</v>
      </c>
      <c r="C10" s="120">
        <v>2</v>
      </c>
      <c r="D10" s="120">
        <v>5</v>
      </c>
      <c r="E10" s="120">
        <v>1</v>
      </c>
      <c r="F10" s="120">
        <v>4</v>
      </c>
      <c r="G10" s="120">
        <v>1</v>
      </c>
      <c r="H10" s="120">
        <v>5</v>
      </c>
      <c r="I10" s="120">
        <v>6</v>
      </c>
      <c r="J10" s="121">
        <f t="shared" si="0"/>
        <v>24</v>
      </c>
    </row>
    <row r="11" spans="1:13" ht="15.75" x14ac:dyDescent="0.25">
      <c r="A11" s="117" t="s">
        <v>178</v>
      </c>
      <c r="B11" s="117" t="s">
        <v>170</v>
      </c>
      <c r="C11" s="120">
        <v>2</v>
      </c>
      <c r="D11" s="120">
        <v>5</v>
      </c>
      <c r="E11" s="120">
        <v>1</v>
      </c>
      <c r="F11" s="120">
        <v>4</v>
      </c>
      <c r="G11" s="120">
        <v>1</v>
      </c>
      <c r="H11" s="120">
        <v>5</v>
      </c>
      <c r="I11" s="120">
        <v>6</v>
      </c>
      <c r="J11" s="121">
        <f t="shared" si="0"/>
        <v>24</v>
      </c>
    </row>
    <row r="12" spans="1:13" ht="15.75" x14ac:dyDescent="0.25">
      <c r="A12" s="117" t="s">
        <v>156</v>
      </c>
      <c r="B12" s="117" t="s">
        <v>171</v>
      </c>
      <c r="C12" s="120">
        <v>2</v>
      </c>
      <c r="D12" s="120">
        <v>5</v>
      </c>
      <c r="E12" s="120">
        <v>1</v>
      </c>
      <c r="F12" s="120">
        <v>4</v>
      </c>
      <c r="G12" s="120">
        <v>1</v>
      </c>
      <c r="H12" s="120">
        <v>5</v>
      </c>
      <c r="I12" s="120">
        <v>6</v>
      </c>
      <c r="J12" s="121">
        <f t="shared" si="0"/>
        <v>24</v>
      </c>
    </row>
    <row r="13" spans="1:13" x14ac:dyDescent="0.25">
      <c r="D13" s="115"/>
    </row>
    <row r="14" spans="1:13" ht="15.75" x14ac:dyDescent="0.25">
      <c r="A14" s="189" t="s">
        <v>179</v>
      </c>
      <c r="B14" s="189"/>
      <c r="C14" s="189"/>
      <c r="D14" s="189"/>
      <c r="E14" s="189"/>
      <c r="F14" s="189"/>
      <c r="G14" s="189"/>
      <c r="H14" s="189"/>
      <c r="I14" s="189"/>
      <c r="J14" s="189"/>
    </row>
  </sheetData>
  <mergeCells count="2">
    <mergeCell ref="A1:J1"/>
    <mergeCell ref="A14:J1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SEM IV_2024</vt:lpstr>
      <vt:lpstr>Sheet1</vt:lpstr>
      <vt:lpstr>Fac. wise TT</vt:lpstr>
      <vt:lpstr>RegularHoursWeekDivWise</vt:lpstr>
      <vt:lpstr>'SEM IV_2024'!Print_Area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2025-07-29T02:53:38Z</dcterms:modified>
</cp:coreProperties>
</file>